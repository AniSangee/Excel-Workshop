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24226"/>
  <mc:AlternateContent xmlns:mc="http://schemas.openxmlformats.org/markup-compatibility/2006">
    <mc:Choice Requires="x15">
      <x15ac:absPath xmlns:x15ac="http://schemas.microsoft.com/office/spreadsheetml/2010/11/ac" url="C:\Users\ADMIN\Desktop\Excel\"/>
    </mc:Choice>
  </mc:AlternateContent>
  <xr:revisionPtr revIDLastSave="0" documentId="13_ncr:1_{17DDD017-D665-4B5E-BF91-6650FB1C35C2}" xr6:coauthVersionLast="47" xr6:coauthVersionMax="47" xr10:uidLastSave="{00000000-0000-0000-0000-000000000000}"/>
  <bookViews>
    <workbookView xWindow="-120" yWindow="-120" windowWidth="20730" windowHeight="11160" xr2:uid="{00000000-000D-0000-FFFF-FFFF00000000}"/>
  </bookViews>
  <sheets>
    <sheet name="work1" sheetId="2" r:id="rId1"/>
    <sheet name="work2" sheetId="8" r:id="rId2"/>
    <sheet name="work3" sheetId="4" r:id="rId3"/>
    <sheet name="work4" sheetId="5" r:id="rId4"/>
    <sheet name="work5" sheetId="6" r:id="rId5"/>
    <sheet name="DashBoard" sheetId="7" r:id="rId6"/>
    <sheet name="Sales data" sheetId="1" r:id="rId7"/>
  </sheets>
  <definedNames>
    <definedName name="Slicer_Category">#N/A</definedName>
    <definedName name="Slicer_Months__Date">#N/A</definedName>
    <definedName name="Slicer_Product">#N/A</definedName>
    <definedName name="Slicer_Region">#N/A</definedName>
  </definedNames>
  <calcPr calcId="191029"/>
  <pivotCaches>
    <pivotCache cacheId="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Q13" i="1" l="1"/>
  <c r="N7" i="1"/>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N17" i="1"/>
  <c r="Q7" i="1"/>
  <c r="N14" i="1"/>
  <c r="N11" i="1"/>
</calcChain>
</file>

<file path=xl/sharedStrings.xml><?xml version="1.0" encoding="utf-8"?>
<sst xmlns="http://schemas.openxmlformats.org/spreadsheetml/2006/main" count="1274" uniqueCount="52">
  <si>
    <t>Order ID</t>
  </si>
  <si>
    <t>Date</t>
  </si>
  <si>
    <t>Region</t>
  </si>
  <si>
    <t>Product</t>
  </si>
  <si>
    <t>Category</t>
  </si>
  <si>
    <t>Customer</t>
  </si>
  <si>
    <t>Qty</t>
  </si>
  <si>
    <t>Unit Price</t>
  </si>
  <si>
    <t>COGS</t>
  </si>
  <si>
    <t>Sales</t>
  </si>
  <si>
    <t>Profit</t>
  </si>
  <si>
    <t>West</t>
  </si>
  <si>
    <t>East</t>
  </si>
  <si>
    <t>North</t>
  </si>
  <si>
    <t>South</t>
  </si>
  <si>
    <t>Office Desk</t>
  </si>
  <si>
    <t>Printer</t>
  </si>
  <si>
    <t>Monitor</t>
  </si>
  <si>
    <t>Office Chair</t>
  </si>
  <si>
    <t>Keyboard</t>
  </si>
  <si>
    <t>Mouse</t>
  </si>
  <si>
    <t>Headphones</t>
  </si>
  <si>
    <t>Laptop</t>
  </si>
  <si>
    <t>Laptop Bag</t>
  </si>
  <si>
    <t>Furniture</t>
  </si>
  <si>
    <t>Electronics</t>
  </si>
  <si>
    <t>Accessories</t>
  </si>
  <si>
    <t>E Store</t>
  </si>
  <si>
    <t>D Outlet</t>
  </si>
  <si>
    <t>B Mart</t>
  </si>
  <si>
    <t>C Corp</t>
  </si>
  <si>
    <t>A Traders</t>
  </si>
  <si>
    <t>Total Sales</t>
  </si>
  <si>
    <t>TOTAL PROFIT</t>
  </si>
  <si>
    <t>TOTAL QTY SOLD</t>
  </si>
  <si>
    <t>AVERAGE ORDER VALUE</t>
  </si>
  <si>
    <t>NO. OF ORDERS</t>
  </si>
  <si>
    <t>PROFIT MARGIN %</t>
  </si>
  <si>
    <t>Row Labels</t>
  </si>
  <si>
    <t>Grand Total</t>
  </si>
  <si>
    <t>Jan</t>
  </si>
  <si>
    <t>Feb</t>
  </si>
  <si>
    <t>Mar</t>
  </si>
  <si>
    <t>Apr</t>
  </si>
  <si>
    <t>May</t>
  </si>
  <si>
    <t>Jun</t>
  </si>
  <si>
    <t>Jul</t>
  </si>
  <si>
    <t>Aug</t>
  </si>
  <si>
    <t>Sep</t>
  </si>
  <si>
    <t>Oct</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</si>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</sst>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yyyy\-mm\-dd"/>
    <numFmt numFmtId="167" formatCode="&quot;Rs.&quot;\ ##\.##,\ &quot;L&quot;"/>
    <numFmt numFmtId="170" formatCode="_(* #,##0_);_(* \(#,##0\);_(* &quot;-&quot;??_);_(@_)"/>
  </numFmts>
  <fonts count="3" x14ac:knownFonts="1">
    <font>
      <sz val="11"/>
      <color theme="1"/>
      <name val="Calibri"/>
      <family val="2"/>
      <scheme val="minor"/>
    </font>
    <font>
      <b/>
      <sz val="11"/>
      <color theme="1"/>
      <name val="Calibri"/>
      <family val="2"/>
      <scheme val="minor"/>
    </font>
    <font>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43" fontId="2" fillId="0" borderId="0" applyFont="0" applyFill="0" applyBorder="0" applyAlignment="0" applyProtection="0"/>
  </cellStyleXfs>
  <cellXfs count="11">
    <xf numFmtId="0" fontId="0" fillId="0" borderId="0" xfId="0"/>
    <xf numFmtId="164" fontId="0" fillId="0" borderId="0" xfId="0" applyNumberFormat="1"/>
    <xf numFmtId="0" fontId="1" fillId="0" borderId="1" xfId="0" applyFont="1" applyBorder="1" applyAlignment="1">
      <alignment horizontal="center" vertical="top"/>
    </xf>
    <xf numFmtId="0" fontId="1" fillId="0" borderId="0" xfId="0" applyFont="1"/>
    <xf numFmtId="10"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167" fontId="0" fillId="0" borderId="0" xfId="0" applyNumberFormat="1"/>
    <xf numFmtId="170" fontId="0" fillId="0" borderId="0" xfId="1" applyNumberFormat="1" applyFont="1"/>
  </cellXfs>
  <cellStyles count="2">
    <cellStyle name="Comma" xfId="1" builtinId="3"/>
    <cellStyle name="Normal" xfId="0" builtinId="0"/>
  </cellStyles>
  <dxfs count="5">
    <dxf>
      <numFmt numFmtId="14" formatCode="0.0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[large_sales_dataset.xlsx]work1!PivotTable1</c:name>
    <c:fmtId val="0"/>
  </c:pivotSource>
  <c:chart>
    <c:autoTitleDeleted val="1"/>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7267E-3"/>
              <c:y val="-9.259259259259258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333333333333332E-3"/>
              <c:y val="-0.2222222222222222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2731334408019993E-17"/>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3333333333333332E-3"/>
              <c:y val="-0.2037037037037036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1805555555555555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8.3333333333333332E-3"/>
              <c:y val="-0.1712962962962963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777777777777779E-3"/>
              <c:y val="-0.1944444444444444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2431746031746028E-2"/>
              <c:y val="-6.279433815921281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2431746031746028E-2"/>
              <c:y val="7.1166916580441122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33E-2"/>
              <c:y val="-9.628465184412636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89E-2"/>
              <c:y val="-5.023547052737025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6209523809523815E-2"/>
              <c:y val="4.1862892106141495E-3"/>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491E-2"/>
              <c:y val="-6.698062736982697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7352380952380955E-2"/>
              <c:y val="-4.6049181316756067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7352380952380997E-2"/>
              <c:y val="-0.1381475439502682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4971428571428578E-2"/>
              <c:y val="5.8608048948598633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89E-2"/>
              <c:y val="0.1004709410547405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222222222222215E-2"/>
          <c:y val="0.23550707203266255"/>
          <c:w val="0.82248140857392826"/>
          <c:h val="0.53774387576552929"/>
        </c:manualLayout>
      </c:layout>
      <c:lineChart>
        <c:grouping val="standard"/>
        <c:varyColors val="0"/>
        <c:ser>
          <c:idx val="0"/>
          <c:order val="0"/>
          <c:tx>
            <c:strRef>
              <c:f>work1!$B$3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dLbl>
              <c:idx val="0"/>
              <c:layout>
                <c:manualLayout>
                  <c:x val="-6.9892063492063491E-2"/>
                  <c:y val="-6.698062736982697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248-4203-9341-B8B88E455343}"/>
                </c:ext>
              </c:extLst>
            </c:dLbl>
            <c:dLbl>
              <c:idx val="1"/>
              <c:layout>
                <c:manualLayout>
                  <c:x val="-6.7352380952380955E-2"/>
                  <c:y val="-4.6049181316756067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248-4203-9341-B8B88E455343}"/>
                </c:ext>
              </c:extLst>
            </c:dLbl>
            <c:dLbl>
              <c:idx val="2"/>
              <c:layout>
                <c:manualLayout>
                  <c:x val="-6.9892063492063533E-2"/>
                  <c:y val="-9.628465184412636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248-4203-9341-B8B88E455343}"/>
                </c:ext>
              </c:extLst>
            </c:dLbl>
            <c:dLbl>
              <c:idx val="3"/>
              <c:layout>
                <c:manualLayout>
                  <c:x val="-7.2431746031746028E-2"/>
                  <c:y val="7.1166916580441122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248-4203-9341-B8B88E455343}"/>
                </c:ext>
              </c:extLst>
            </c:dLbl>
            <c:dLbl>
              <c:idx val="4"/>
              <c:layout>
                <c:manualLayout>
                  <c:x val="-6.7352380952380997E-2"/>
                  <c:y val="-0.1381475439502682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248-4203-9341-B8B88E455343}"/>
                </c:ext>
              </c:extLst>
            </c:dLbl>
            <c:dLbl>
              <c:idx val="5"/>
              <c:layout>
                <c:manualLayout>
                  <c:x val="-7.4971428571428578E-2"/>
                  <c:y val="5.8608048948598633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6248-4203-9341-B8B88E455343}"/>
                </c:ext>
              </c:extLst>
            </c:dLbl>
            <c:dLbl>
              <c:idx val="6"/>
              <c:layout>
                <c:manualLayout>
                  <c:x val="-7.2431746031746028E-2"/>
                  <c:y val="-6.279433815921281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248-4203-9341-B8B88E455343}"/>
                </c:ext>
              </c:extLst>
            </c:dLbl>
            <c:dLbl>
              <c:idx val="7"/>
              <c:layout>
                <c:manualLayout>
                  <c:x val="-6.6209523809523815E-2"/>
                  <c:y val="4.1862892106141495E-3"/>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248-4203-9341-B8B88E455343}"/>
                </c:ext>
              </c:extLst>
            </c:dLbl>
            <c:dLbl>
              <c:idx val="8"/>
              <c:layout>
                <c:manualLayout>
                  <c:x val="-6.9892063492063589E-2"/>
                  <c:y val="0.1004709410547405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6248-4203-9341-B8B88E455343}"/>
                </c:ext>
              </c:extLst>
            </c:dLbl>
            <c:dLbl>
              <c:idx val="9"/>
              <c:layout>
                <c:manualLayout>
                  <c:x val="-6.9892063492063589E-2"/>
                  <c:y val="-5.023547052737025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6248-4203-9341-B8B88E45534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work1!$A$4:$A$14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work1!$B$4:$B$14</c:f>
              <c:numCache>
                <c:formatCode>"Rs."\ ##\.##,\ "L"</c:formatCode>
                <c:ptCount val="10"/>
                <c:pt idx="0">
                  <c:v>9606976</c:v>
                </c:pt>
                <c:pt idx="1">
                  <c:v>8328924</c:v>
                </c:pt>
                <c:pt idx="2">
                  <c:v>9143639</c:v>
                </c:pt>
                <c:pt idx="3">
                  <c:v>9935655</c:v>
                </c:pt>
                <c:pt idx="4">
                  <c:v>6469852</c:v>
                </c:pt>
                <c:pt idx="5">
                  <c:v>8098535</c:v>
                </c:pt>
                <c:pt idx="6">
                  <c:v>8520088</c:v>
                </c:pt>
                <c:pt idx="7">
                  <c:v>12530544</c:v>
                </c:pt>
                <c:pt idx="8">
                  <c:v>8388330</c:v>
                </c:pt>
                <c:pt idx="9">
                  <c:v>8253541</c:v>
                </c:pt>
              </c:numCache>
            </c:numRef>
          </c:val>
          <c:smooth val="0"/>
          <c:extLst>
            <c:ext xmlns:c16="http://schemas.microsoft.com/office/drawing/2014/chart" uri="{C3380CC4-5D6E-409C-BE32-E72D297353CC}">
              <c16:uniqueId val="{00000007-6248-4203-9341-B8B88E455343}"/>
            </c:ext>
          </c:extLst>
        </c:ser>
        <c:dLbls>
          <c:dLblPos val="ctr"/>
          <c:showLegendKey val="0"/>
          <c:showVal val="1"/>
          <c:showCatName val="0"/>
          <c:showSerName val="0"/>
          <c:showPercent val="0"/>
          <c:showBubbleSize val="0"/>
        </c:dLbls>
        <c:dropLines>
          <c:spPr>
            <a:ln w="9525" cap="flat" cmpd="sng" algn="ctr">
              <a:solidFill>
                <a:schemeClr val="tx2"/>
              </a:solidFill>
              <a:round/>
            </a:ln>
            <a:effectLst/>
          </c:spPr>
        </c:dropLines>
        <c:marker val="1"/>
        <c:smooth val="0"/>
        <c:axId val="542835263"/>
        <c:axId val="542836703"/>
      </c:lineChart>
      <c:catAx>
        <c:axId val="542835263"/>
        <c:scaling>
          <c:orientation val="minMax"/>
        </c:scaling>
        <c:delete val="0"/>
        <c:axPos val="b"/>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accent1">
                    <a:lumMod val="50000"/>
                  </a:schemeClr>
                </a:solidFill>
                <a:latin typeface="+mn-lt"/>
                <a:ea typeface="+mn-ea"/>
                <a:cs typeface="+mn-cs"/>
              </a:defRPr>
            </a:pPr>
            <a:endParaRPr lang="en-US"/>
          </a:p>
        </c:txPr>
        <c:crossAx val="542836703"/>
        <c:crosses val="autoZero"/>
        <c:auto val="1"/>
        <c:lblAlgn val="ctr"/>
        <c:lblOffset val="100"/>
        <c:noMultiLvlLbl val="0"/>
      </c:catAx>
      <c:valAx>
        <c:axId val="542836703"/>
        <c:scaling>
          <c:orientation val="minMax"/>
        </c:scaling>
        <c:delete val="1"/>
        <c:axPos val="l"/>
        <c:numFmt formatCode="&quot;Rs.&quot;\ ##\.##,\ &quot;L&quot;" sourceLinked="1"/>
        <c:majorTickMark val="out"/>
        <c:minorTickMark val="none"/>
        <c:tickLblPos val="nextTo"/>
        <c:crossAx val="542835263"/>
        <c:crosses val="autoZero"/>
        <c:crossBetween val="between"/>
      </c:valAx>
      <c:spPr>
        <a:solidFill>
          <a:schemeClr val="tx2">
            <a:lumMod val="20000"/>
            <a:lumOff val="80000"/>
            <a:alpha val="56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[large_sales_dataset.xlsx]work2!PivotTable1</c:name>
    <c:fmtId val="0"/>
  </c:pivotSource>
  <c:chart>
    <c:title>
      <c:tx>
        <c:rich>
          <a:bodyPr rot="0" spcFirstLastPara="1" vertOverflow="ellipsis" vert="horz" wrap="square" anchor="ctr" anchorCtr="1"/>
          <a:lstStyle/>
          <a:p>
            <a:pPr>
              <a:defRPr lang="en-US" sz="1080" b="0" i="0" u="none" strike="noStrike" kern="1200" spc="0" baseline="0">
                <a:solidFill>
                  <a:schemeClr val="tx1">
                    <a:lumMod val="75000"/>
                    <a:lumOff val="25000"/>
                  </a:schemeClr>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3333333333333333"/>
              <c:y val="-0.1203703703703704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7777777777777778"/>
              <c:y val="8.7962962962962882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277777777777778"/>
              <c:y val="3.7037037037037035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schemeClr>
          </a:solidFill>
          <a:ln w="19050">
            <a:solidFill>
              <a:schemeClr val="lt1"/>
            </a:solidFill>
          </a:ln>
          <a:effectLst/>
        </c:spPr>
        <c:dLbl>
          <c:idx val="0"/>
          <c:layout>
            <c:manualLayout>
              <c:x val="-0.13333333333333336"/>
              <c:y val="-7.8703703703703706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work2!$B$3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2-04A2-4ECF-8BC7-95179DF3758F}"/>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04A2-4ECF-8BC7-95179DF3758F}"/>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4-04A2-4ECF-8BC7-95179DF3758F}"/>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5-04A2-4ECF-8BC7-95179DF3758F}"/>
              </c:ext>
            </c:extLst>
          </c:dPt>
          <c:dLbls>
            <c:dLbl>
              <c:idx val="0"/>
              <c:layout>
                <c:manualLayout>
                  <c:x val="0.13333333333333333"/>
                  <c:y val="-0.120370370370370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A2-4ECF-8BC7-95179DF3758F}"/>
                </c:ext>
              </c:extLst>
            </c:dLbl>
            <c:dLbl>
              <c:idx val="1"/>
              <c:layout>
                <c:manualLayout>
                  <c:x val="0.17777777777777778"/>
                  <c:y val="8.7962962962962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A2-4ECF-8BC7-95179DF3758F}"/>
                </c:ext>
              </c:extLst>
            </c:dLbl>
            <c:dLbl>
              <c:idx val="2"/>
              <c:layout>
                <c:manualLayout>
                  <c:x val="-0.1277777777777778"/>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A2-4ECF-8BC7-95179DF3758F}"/>
                </c:ext>
              </c:extLst>
            </c:dLbl>
            <c:dLbl>
              <c:idx val="3"/>
              <c:layout>
                <c:manualLayout>
                  <c:x val="-0.13333333333333336"/>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A2-4ECF-8BC7-95179DF3758F}"/>
                </c:ext>
              </c:extLst>
            </c:dLbl>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work2!$A$4:$A$8</c:f>
              <c:strCache>
                <c:ptCount val="4"/>
                <c:pt idx="0">
                  <c:v>East</c:v>
                </c:pt>
                <c:pt idx="1">
                  <c:v>North</c:v>
                </c:pt>
                <c:pt idx="2">
                  <c:v>South</c:v>
                </c:pt>
                <c:pt idx="3">
                  <c:v>West</c:v>
                </c:pt>
              </c:strCache>
            </c:strRef>
          </c:cat>
          <c:val>
            <c:numRef>
              <c:f>work2!$B$4:$B$8</c:f>
              <c:numCache>
                <c:formatCode>"Rs."\ ##\.##,\ "L"</c:formatCode>
                <c:ptCount val="4"/>
                <c:pt idx="0">
                  <c:v>22734042</c:v>
                </c:pt>
                <c:pt idx="1">
                  <c:v>23033602</c:v>
                </c:pt>
                <c:pt idx="2">
                  <c:v>18647974</c:v>
                </c:pt>
                <c:pt idx="3">
                  <c:v>24860466</c:v>
                </c:pt>
              </c:numCache>
            </c:numRef>
          </c:val>
          <c:extLst>
            <c:ext xmlns:c16="http://schemas.microsoft.com/office/drawing/2014/chart" uri="{C3380CC4-5D6E-409C-BE32-E72D297353CC}">
              <c16:uniqueId val="{00000000-04A2-4ECF-8BC7-95179DF3758F}"/>
            </c:ext>
          </c:extLst>
        </c:ser>
        <c:dLbls>
          <c:showLegendKey val="0"/>
          <c:showVal val="1"/>
          <c:showCatName val="0"/>
          <c:showSerName val="0"/>
          <c:showPercent val="0"/>
          <c:showBubbleSize val="0"/>
          <c:showLeaderLines val="1"/>
        </c:dLbls>
        <c:firstSliceAng val="0"/>
        <c:holeSize val="50"/>
      </c:doughnutChart>
      <c:spPr>
        <a:solidFill>
          <a:schemeClr val="bg1"/>
        </a:solid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[large_sales_dataset.xlsx]work3!PivotTable3</c:name>
    <c:fmtId val="0"/>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work3!$B$3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work3!$A$4:$A$7</c:f>
              <c:strCache>
                <c:ptCount val="3"/>
                <c:pt idx="0">
                  <c:v>Accessories</c:v>
                </c:pt>
                <c:pt idx="1">
                  <c:v>Electronics</c:v>
                </c:pt>
                <c:pt idx="2">
                  <c:v>Furniture</c:v>
                </c:pt>
              </c:strCache>
            </c:strRef>
          </c:cat>
          <c:val>
            <c:numRef>
              <c:f>work3!$B$4:$B$7</c:f>
              <c:numCache>
                <c:formatCode>"Rs."\ ##\.##,\ "L"</c:formatCode>
                <c:ptCount val="3"/>
                <c:pt idx="0">
                  <c:v>7638060</c:v>
                </c:pt>
                <c:pt idx="1">
                  <c:v>62626867</c:v>
                </c:pt>
                <c:pt idx="2">
                  <c:v>19011157</c:v>
                </c:pt>
              </c:numCache>
            </c:numRef>
          </c:val>
          <c:smooth val="0"/>
          <c:extLst>
            <c:ext xmlns:c16="http://schemas.microsoft.com/office/drawing/2014/chart" uri="{C3380CC4-5D6E-409C-BE32-E72D297353CC}">
              <c16:uniqueId val="{00000000-7452-431B-9577-2A0FB2D4EF8C}"/>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42838143"/>
        <c:axId val="542830943"/>
      </c:lineChart>
      <c:catAx>
        <c:axId val="54283814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42830943"/>
        <c:crosses val="autoZero"/>
        <c:auto val="1"/>
        <c:lblAlgn val="ctr"/>
        <c:lblOffset val="100"/>
        <c:noMultiLvlLbl val="0"/>
      </c:catAx>
      <c:valAx>
        <c:axId val="542830943"/>
        <c:scaling>
          <c:orientation val="minMax"/>
        </c:scaling>
        <c:delete val="1"/>
        <c:axPos val="l"/>
        <c:numFmt formatCode="&quot;Rs.&quot;\ ##\.##,\ &quot;L&quot;" sourceLinked="1"/>
        <c:majorTickMark val="none"/>
        <c:minorTickMark val="none"/>
        <c:tickLblPos val="nextTo"/>
        <c:crossAx val="54283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[large_sales_dataset.xlsx]work4!PivotTable4</c:name>
    <c:fmtId val="0"/>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work4!$B$3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multiLvlStrRef>
              <c:f>work4!$A$4:$A$17</c:f>
              <c:multiLvlStrCache>
                <c:ptCount val="9"/>
                <c:lvl>
                  <c:pt idx="5">
                    <c:v>Furniture</c:v>
                  </c:pt>
                  <c:pt idx="6">
                    <c:v>Electronics</c:v>
                  </c:pt>
                  <c:pt idx="7">
                    <c:v>Accessories</c:v>
                  </c:pt>
                  <c:pt idx="8">
                    <c:v>Electronics</c:v>
                  </c:pt>
                </c:lvl>
                <c:lvl>
                  <c:pt idx="0">
                    <c:v>Monitor</c:v>
                  </c:pt>
                  <c:pt idx="1">
                    <c:v>Keyboard</c:v>
                  </c:pt>
                  <c:pt idx="2">
                    <c:v>Laptop</c:v>
                  </c:pt>
                  <c:pt idx="3">
                    <c:v>Headphones</c:v>
                  </c:pt>
                  <c:pt idx="4">
                    <c:v>Office Chair</c:v>
                  </c:pt>
                  <c:pt idx="5">
                    <c:v>Office Desk</c:v>
                  </c:pt>
                  <c:pt idx="6">
                    <c:v>Mouse</c:v>
                  </c:pt>
                  <c:pt idx="7">
                    <c:v>Laptop Bag</c:v>
                  </c:pt>
                  <c:pt idx="8">
                    <c:v>Printer</c:v>
                  </c:pt>
                </c:lvl>
              </c:multiLvlStrCache>
            </c:multiLvlStrRef>
          </c:cat>
          <c:val>
            <c:numRef>
              <c:f>work4!$B$4:$B$17</c:f>
              <c:numCache>
                <c:formatCode>General</c:formatCode>
                <c:ptCount val="9"/>
                <c:pt idx="0">
                  <c:v>13706843</c:v>
                </c:pt>
                <c:pt idx="1">
                  <c:v>12019421</c:v>
                </c:pt>
                <c:pt idx="2">
                  <c:v>10844992</c:v>
                </c:pt>
                <c:pt idx="3">
                  <c:v>10189264</c:v>
                </c:pt>
                <c:pt idx="4">
                  <c:v>9764060</c:v>
                </c:pt>
                <c:pt idx="5">
                  <c:v>9247097</c:v>
                </c:pt>
                <c:pt idx="6">
                  <c:v>8863357</c:v>
                </c:pt>
                <c:pt idx="7">
                  <c:v>7638060</c:v>
                </c:pt>
                <c:pt idx="8">
                  <c:v>7002990</c:v>
                </c:pt>
              </c:numCache>
            </c:numRef>
          </c:val>
          <c:extLst>
            <c:ext xmlns:c16="http://schemas.microsoft.com/office/drawing/2014/chart" uri="{C3380CC4-5D6E-409C-BE32-E72D297353CC}">
              <c16:uniqueId val="{00000000-95B5-45B3-A0FA-E2CAFE3F6FF8}"/>
            </c:ext>
          </c:extLst>
        </c:ser>
        <c:dLbls>
          <c:showLegendKey val="0"/>
          <c:showVal val="0"/>
          <c:showCatName val="0"/>
          <c:showSerName val="0"/>
          <c:showPercent val="0"/>
          <c:showBubbleSize val="0"/>
        </c:dLbls>
        <c:gapWidth val="150"/>
        <c:overlap val="100"/>
        <c:axId val="767137007"/>
        <c:axId val="767125967"/>
      </c:barChart>
      <c:catAx>
        <c:axId val="76713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67125967"/>
        <c:crosses val="autoZero"/>
        <c:auto val="1"/>
        <c:lblAlgn val="ctr"/>
        <c:lblOffset val="100"/>
        <c:noMultiLvlLbl val="0"/>
      </c:catAx>
      <c:valAx>
        <c:axId val="767125967"/>
        <c:scaling>
          <c:orientation val="minMax"/>
        </c:scaling>
        <c:delete val="1"/>
        <c:axPos val="b"/>
        <c:numFmt formatCode="General" sourceLinked="1"/>
        <c:majorTickMark val="none"/>
        <c:minorTickMark val="none"/>
        <c:tickLblPos val="nextTo"/>
        <c:crossAx val="76713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[large_sales_dataset.xlsx]work5!PivotTable5</c:name>
    <c:fmtId val="0"/>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work5!$B$3</c:f>
              <c:strCache>
                <c:ptCount val="1"/>
                <c:pt idx="0">
                  <c:v>Sum of Sales</c:v>
                </c:pt>
              </c:strCache>
            </c:strRef>
          </c:tx>
          <c:spPr>
            <a:solidFill>
              <a:schemeClr val="accent1"/>
            </a:solidFill>
            <a:ln>
              <a:noFill/>
            </a:ln>
            <a:effectLst/>
            <a:sp3d/>
          </c:spPr>
          <c:invertIfNegative val="0"/>
          <c:cat>
            <c:strRef>
              <c:f>work5!$A$4:$A$14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work5!$B$4:$B$14</c:f>
              <c:numCache>
                <c:formatCode>General</c:formatCode>
                <c:ptCount val="10"/>
                <c:pt idx="0">
                  <c:v>9606976</c:v>
                </c:pt>
                <c:pt idx="1">
                  <c:v>8328924</c:v>
                </c:pt>
                <c:pt idx="2">
                  <c:v>9143639</c:v>
                </c:pt>
                <c:pt idx="3">
                  <c:v>9935655</c:v>
                </c:pt>
                <c:pt idx="4">
                  <c:v>6469852</c:v>
                </c:pt>
                <c:pt idx="5">
                  <c:v>8098535</c:v>
                </c:pt>
                <c:pt idx="6">
                  <c:v>8520088</c:v>
                </c:pt>
                <c:pt idx="7">
                  <c:v>12530544</c:v>
                </c:pt>
                <c:pt idx="8">
                  <c:v>8388330</c:v>
                </c:pt>
                <c:pt idx="9">
                  <c:v>8253541</c:v>
                </c:pt>
              </c:numCache>
            </c:numRef>
          </c:val>
          <c:extLst>
            <c:ext xmlns:c16="http://schemas.microsoft.com/office/drawing/2014/chart" uri="{C3380CC4-5D6E-409C-BE32-E72D297353CC}">
              <c16:uniqueId val="{00000000-BEFD-4114-A239-ED3F765F65DF}"/>
            </c:ext>
          </c:extLst>
        </c:ser>
        <c:ser>
          <c:idx val="1"/>
          <c:order val="1"/>
          <c:tx>
            <c:strRef>
              <c:f>work5!$C$3</c:f>
              <c:strCache>
                <c:ptCount val="1"/>
                <c:pt idx="0">
                  <c:v>Sum of Profit</c:v>
                </c:pt>
              </c:strCache>
            </c:strRef>
          </c:tx>
          <c:spPr>
            <a:solidFill>
              <a:schemeClr val="accent2"/>
            </a:solidFill>
            <a:ln>
              <a:noFill/>
            </a:ln>
            <a:effectLst/>
            <a:sp3d/>
          </c:spPr>
          <c:invertIfNegative val="0"/>
          <c:cat>
            <c:strRef>
              <c:f>work5!$A$4:$A$14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work5!$C$4:$C$14</c:f>
              <c:numCache>
                <c:formatCode>General</c:formatCode>
                <c:ptCount val="10"/>
                <c:pt idx="0">
                  <c:v>2626468</c:v>
                </c:pt>
                <c:pt idx="1">
                  <c:v>2153736</c:v>
                </c:pt>
                <c:pt idx="2">
                  <c:v>2228130</c:v>
                </c:pt>
                <c:pt idx="3">
                  <c:v>2036563</c:v>
                </c:pt>
                <c:pt idx="4">
                  <c:v>1626542</c:v>
                </c:pt>
                <c:pt idx="5">
                  <c:v>1890377</c:v>
                </c:pt>
                <c:pt idx="6">
                  <c:v>2209846</c:v>
                </c:pt>
                <c:pt idx="7">
                  <c:v>2683571</c:v>
                </c:pt>
                <c:pt idx="8">
                  <c:v>1959376</c:v>
                </c:pt>
                <c:pt idx="9">
                  <c:v>2129240</c:v>
                </c:pt>
              </c:numCache>
            </c:numRef>
          </c:val>
          <c:extLst>
            <c:ext xmlns:c16="http://schemas.microsoft.com/office/drawing/2014/chart" uri="{C3380CC4-5D6E-409C-BE32-E72D297353CC}">
              <c16:uniqueId val="{00000001-BEFD-4114-A239-ED3F765F65DF}"/>
            </c:ext>
          </c:extLst>
        </c:ser>
        <c:dLbls>
          <c:showLegendKey val="0"/>
          <c:showVal val="0"/>
          <c:showCatName val="0"/>
          <c:showSerName val="0"/>
          <c:showPercent val="0"/>
          <c:showBubbleSize val="0"/>
        </c:dLbls>
        <c:gapWidth val="150"/>
        <c:shape val="box"/>
        <c:axId val="767130287"/>
        <c:axId val="767136527"/>
        <c:axId val="0"/>
      </c:bar3DChart>
      <c:catAx>
        <c:axId val="767130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136527"/>
        <c:crosses val="autoZero"/>
        <c:auto val="1"/>
        <c:lblAlgn val="ctr"/>
        <c:lblOffset val="100"/>
        <c:noMultiLvlLbl val="0"/>
      </c:catAx>
      <c:valAx>
        <c:axId val="7671365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7130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[large_sales_dataset.xlsx]work1!PivotTable1</c:name>
    <c:fmtId val="20"/>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2.7777777777777267E-3"/>
              <c:y val="-9.259259259259258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333333333333332E-3"/>
              <c:y val="-0.2222222222222222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2731334408019993E-17"/>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3333333333333332E-3"/>
              <c:y val="-0.2037037037037036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
              <c:y val="-0.1805555555555555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8.3333333333333332E-3"/>
              <c:y val="-0.17129629629629631"/>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777777777777779E-3"/>
              <c:y val="-0.19444444444444445"/>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2431746031746028E-2"/>
              <c:y val="-6.279433815921281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2431746031746028E-2"/>
              <c:y val="7.1166916580441122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33E-2"/>
              <c:y val="-9.628465184412636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89E-2"/>
              <c:y val="-5.023547052737025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6209523809523815E-2"/>
              <c:y val="4.1862892106141495E-3"/>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491E-2"/>
              <c:y val="-6.698062736982697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7352380952380955E-2"/>
              <c:y val="-4.6049181316756067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7352380952380997E-2"/>
              <c:y val="-0.1381475439502682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4971428571428578E-2"/>
              <c:y val="5.8608048948598633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89E-2"/>
              <c:y val="0.1004709410547405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491E-2"/>
              <c:y val="-6.698062736982697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7352380952380955E-2"/>
              <c:y val="-4.6049181316756067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33E-2"/>
              <c:y val="-9.628465184412636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2431746031746028E-2"/>
              <c:y val="7.1166916580441122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7352380952380997E-2"/>
              <c:y val="-0.1381475439502682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4971428571428578E-2"/>
              <c:y val="5.8608048948598633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2431746031746028E-2"/>
              <c:y val="-6.279433815921281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6209523809523815E-2"/>
              <c:y val="4.1862892106141495E-3"/>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89E-2"/>
              <c:y val="0.1004709410547405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89E-2"/>
              <c:y val="-5.023547052737025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491E-2"/>
              <c:y val="-6.698062736982697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1"/>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7352380952380955E-2"/>
              <c:y val="-4.6049181316756067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2"/>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33E-2"/>
              <c:y val="-9.628465184412636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3"/>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2431746031746028E-2"/>
              <c:y val="7.1166916580441122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4"/>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7352380952380997E-2"/>
              <c:y val="-0.1381475439502682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5"/>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4971428571428578E-2"/>
              <c:y val="5.8608048948598633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6"/>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7.2431746031746028E-2"/>
              <c:y val="-6.279433815921281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7"/>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6209523809523815E-2"/>
              <c:y val="4.1862892106141495E-3"/>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8"/>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89E-2"/>
              <c:y val="0.1004709410547405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9"/>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
          <c:idx val="0"/>
          <c:layout>
            <c:manualLayout>
              <c:x val="-6.9892063492063589E-2"/>
              <c:y val="-5.023547052737025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2635604501582976E-2"/>
          <c:w val="0.97485443016946272"/>
          <c:h val="0.70061549220994968"/>
        </c:manualLayout>
      </c:layout>
      <c:lineChart>
        <c:grouping val="standard"/>
        <c:varyColors val="0"/>
        <c:ser>
          <c:idx val="0"/>
          <c:order val="0"/>
          <c:tx>
            <c:strRef>
              <c:f>work1!$B$3</c:f>
              <c:strCache>
                <c:ptCount val="1"/>
                <c:pt idx="0">
                  <c:v>Total</c:v>
                </c:pt>
              </c:strCache>
            </c:strRef>
          </c:tx>
          <c:spPr>
            <a:ln w="22225" cap="rnd" cmpd="sng" algn="ctr">
              <a:solidFill>
                <a:schemeClr val="accent2">
                  <a:lumMod val="50000"/>
                </a:schemeClr>
              </a:solidFill>
              <a:round/>
            </a:ln>
            <a:effectLst/>
          </c:spPr>
          <c:marker>
            <c:symbol val="circle"/>
            <c:size val="4"/>
            <c:spPr>
              <a:solidFill>
                <a:schemeClr val="accent1"/>
              </a:solidFill>
              <a:ln w="9525" cap="flat" cmpd="sng" algn="ctr">
                <a:solidFill>
                  <a:schemeClr val="accent1"/>
                </a:solidFill>
                <a:round/>
              </a:ln>
              <a:effectLst/>
            </c:spPr>
          </c:marker>
          <c:dLbls>
            <c:dLbl>
              <c:idx val="0"/>
              <c:layout>
                <c:manualLayout>
                  <c:x val="-6.9892063492063491E-2"/>
                  <c:y val="-6.698062736982697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75E-4ADA-B9AA-ADC23807CE46}"/>
                </c:ext>
              </c:extLst>
            </c:dLbl>
            <c:dLbl>
              <c:idx val="1"/>
              <c:layout>
                <c:manualLayout>
                  <c:x val="-6.7352380952380955E-2"/>
                  <c:y val="-4.6049181316756067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75E-4ADA-B9AA-ADC23807CE46}"/>
                </c:ext>
              </c:extLst>
            </c:dLbl>
            <c:dLbl>
              <c:idx val="2"/>
              <c:layout>
                <c:manualLayout>
                  <c:x val="-6.9892063492063533E-2"/>
                  <c:y val="-9.628465184412636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75E-4ADA-B9AA-ADC23807CE46}"/>
                </c:ext>
              </c:extLst>
            </c:dLbl>
            <c:dLbl>
              <c:idx val="3"/>
              <c:layout>
                <c:manualLayout>
                  <c:x val="-7.2431746031746028E-2"/>
                  <c:y val="7.1166916580441122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75E-4ADA-B9AA-ADC23807CE46}"/>
                </c:ext>
              </c:extLst>
            </c:dLbl>
            <c:dLbl>
              <c:idx val="4"/>
              <c:layout>
                <c:manualLayout>
                  <c:x val="-6.7352380952380997E-2"/>
                  <c:y val="-0.1381475439502682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75E-4ADA-B9AA-ADC23807CE46}"/>
                </c:ext>
              </c:extLst>
            </c:dLbl>
            <c:dLbl>
              <c:idx val="5"/>
              <c:layout>
                <c:manualLayout>
                  <c:x val="-7.4971428571428578E-2"/>
                  <c:y val="5.8608048948598633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75E-4ADA-B9AA-ADC23807CE46}"/>
                </c:ext>
              </c:extLst>
            </c:dLbl>
            <c:dLbl>
              <c:idx val="6"/>
              <c:layout>
                <c:manualLayout>
                  <c:x val="-7.2431746031746028E-2"/>
                  <c:y val="-6.2794338159212815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75E-4ADA-B9AA-ADC23807CE46}"/>
                </c:ext>
              </c:extLst>
            </c:dLbl>
            <c:dLbl>
              <c:idx val="7"/>
              <c:layout>
                <c:manualLayout>
                  <c:x val="-6.6209523809523815E-2"/>
                  <c:y val="4.1862892106141495E-3"/>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75E-4ADA-B9AA-ADC23807CE46}"/>
                </c:ext>
              </c:extLst>
            </c:dLbl>
            <c:dLbl>
              <c:idx val="8"/>
              <c:layout>
                <c:manualLayout>
                  <c:x val="-6.9892063492063589E-2"/>
                  <c:y val="0.10047094105474051"/>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75E-4ADA-B9AA-ADC23807CE46}"/>
                </c:ext>
              </c:extLst>
            </c:dLbl>
            <c:dLbl>
              <c:idx val="9"/>
              <c:layout>
                <c:manualLayout>
                  <c:x val="-6.9892063492063589E-2"/>
                  <c:y val="-5.0235470527370256E-2"/>
                </c:manualLayout>
              </c:layout>
              <c:spPr>
                <a:solidFill>
                  <a:srgbClr val="4F81BD"/>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75E-4ADA-B9AA-ADC23807CE46}"/>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work1!$A$4:$A$14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work1!$B$4:$B$14</c:f>
              <c:numCache>
                <c:formatCode>"Rs."\ ##\.##,\ "L"</c:formatCode>
                <c:ptCount val="10"/>
                <c:pt idx="0">
                  <c:v>9606976</c:v>
                </c:pt>
                <c:pt idx="1">
                  <c:v>8328924</c:v>
                </c:pt>
                <c:pt idx="2">
                  <c:v>9143639</c:v>
                </c:pt>
                <c:pt idx="3">
                  <c:v>9935655</c:v>
                </c:pt>
                <c:pt idx="4">
                  <c:v>6469852</c:v>
                </c:pt>
                <c:pt idx="5">
                  <c:v>8098535</c:v>
                </c:pt>
                <c:pt idx="6">
                  <c:v>8520088</c:v>
                </c:pt>
                <c:pt idx="7">
                  <c:v>12530544</c:v>
                </c:pt>
                <c:pt idx="8">
                  <c:v>8388330</c:v>
                </c:pt>
                <c:pt idx="9">
                  <c:v>8253541</c:v>
                </c:pt>
              </c:numCache>
            </c:numRef>
          </c:val>
          <c:smooth val="0"/>
          <c:extLst>
            <c:ext xmlns:c16="http://schemas.microsoft.com/office/drawing/2014/chart" uri="{C3380CC4-5D6E-409C-BE32-E72D297353CC}">
              <c16:uniqueId val="{0000000A-C75E-4ADA-B9AA-ADC23807CE46}"/>
            </c:ext>
          </c:extLst>
        </c:ser>
        <c:dLbls>
          <c:dLblPos val="ctr"/>
          <c:showLegendKey val="0"/>
          <c:showVal val="1"/>
          <c:showCatName val="0"/>
          <c:showSerName val="0"/>
          <c:showPercent val="0"/>
          <c:showBubbleSize val="0"/>
        </c:dLbls>
        <c:dropLines>
          <c:spPr>
            <a:ln w="9525" cap="flat" cmpd="sng" algn="ctr">
              <a:solidFill>
                <a:schemeClr val="bg2"/>
              </a:solidFill>
              <a:round/>
            </a:ln>
            <a:effectLst/>
          </c:spPr>
        </c:dropLines>
        <c:marker val="1"/>
        <c:smooth val="0"/>
        <c:axId val="542835263"/>
        <c:axId val="542836703"/>
      </c:lineChart>
      <c:catAx>
        <c:axId val="542835263"/>
        <c:scaling>
          <c:orientation val="minMax"/>
        </c:scaling>
        <c:delete val="0"/>
        <c:axPos val="b"/>
        <c:numFmt formatCode="General" sourceLinked="1"/>
        <c:majorTickMark val="out"/>
        <c:minorTickMark val="none"/>
        <c:tickLblPos val="nextTo"/>
        <c:spPr>
          <a:solidFill>
            <a:schemeClr val="bg1"/>
          </a:solid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accent1">
                    <a:lumMod val="50000"/>
                  </a:schemeClr>
                </a:solidFill>
                <a:latin typeface="+mn-lt"/>
                <a:ea typeface="+mn-ea"/>
                <a:cs typeface="+mn-cs"/>
              </a:defRPr>
            </a:pPr>
            <a:endParaRPr lang="en-US"/>
          </a:p>
        </c:txPr>
        <c:crossAx val="542836703"/>
        <c:crosses val="autoZero"/>
        <c:auto val="1"/>
        <c:lblAlgn val="ctr"/>
        <c:lblOffset val="100"/>
        <c:noMultiLvlLbl val="0"/>
      </c:catAx>
      <c:valAx>
        <c:axId val="542836703"/>
        <c:scaling>
          <c:orientation val="minMax"/>
        </c:scaling>
        <c:delete val="1"/>
        <c:axPos val="l"/>
        <c:numFmt formatCode="&quot;Rs.&quot;\ ##\.##,\ &quot;L&quot;" sourceLinked="1"/>
        <c:majorTickMark val="out"/>
        <c:minorTickMark val="none"/>
        <c:tickLblPos val="nextTo"/>
        <c:crossAx val="542835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[large_sales_dataset.xlsx]work3!PivotTable3</c:name>
    <c:fmtId val="22"/>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5.17638408039462E-2"/>
              <c:y val="2.754819741515480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3.8522422051329185E-3"/>
              <c:y val="-1.652891844909288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layout>
            <c:manualLayout>
              <c:x val="-0.10906624998723419"/>
              <c:y val="0.132231347592743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483771224637413E-3"/>
          <c:y val="3.4244127855540272E-3"/>
          <c:w val="0.88761174968071521"/>
          <c:h val="0.80596727536717483"/>
        </c:manualLayout>
      </c:layout>
      <c:lineChart>
        <c:grouping val="standard"/>
        <c:varyColors val="0"/>
        <c:ser>
          <c:idx val="0"/>
          <c:order val="0"/>
          <c:tx>
            <c:strRef>
              <c:f>work3!$B$3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dLbl>
              <c:idx val="0"/>
              <c:layout>
                <c:manualLayout>
                  <c:x val="-3.8522422051329185E-3"/>
                  <c:y val="-1.652891844909288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A33-41F2-9E9F-D18CA9B158BD}"/>
                </c:ext>
              </c:extLst>
            </c:dLbl>
            <c:dLbl>
              <c:idx val="1"/>
              <c:layout>
                <c:manualLayout>
                  <c:x val="5.17638408039462E-2"/>
                  <c:y val="2.754819741515480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33-41F2-9E9F-D18CA9B158BD}"/>
                </c:ext>
              </c:extLst>
            </c:dLbl>
            <c:dLbl>
              <c:idx val="2"/>
              <c:layout>
                <c:manualLayout>
                  <c:x val="-0.10906624998723419"/>
                  <c:y val="0.132231347592743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33-41F2-9E9F-D18CA9B158B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work3!$A$4:$A$7</c:f>
              <c:strCache>
                <c:ptCount val="3"/>
                <c:pt idx="0">
                  <c:v>Accessories</c:v>
                </c:pt>
                <c:pt idx="1">
                  <c:v>Electronics</c:v>
                </c:pt>
                <c:pt idx="2">
                  <c:v>Furniture</c:v>
                </c:pt>
              </c:strCache>
            </c:strRef>
          </c:cat>
          <c:val>
            <c:numRef>
              <c:f>work3!$B$4:$B$7</c:f>
              <c:numCache>
                <c:formatCode>"Rs."\ ##\.##,\ "L"</c:formatCode>
                <c:ptCount val="3"/>
                <c:pt idx="0">
                  <c:v>7638060</c:v>
                </c:pt>
                <c:pt idx="1">
                  <c:v>62626867</c:v>
                </c:pt>
                <c:pt idx="2">
                  <c:v>19011157</c:v>
                </c:pt>
              </c:numCache>
            </c:numRef>
          </c:val>
          <c:smooth val="0"/>
          <c:extLst>
            <c:ext xmlns:c16="http://schemas.microsoft.com/office/drawing/2014/chart" uri="{C3380CC4-5D6E-409C-BE32-E72D297353CC}">
              <c16:uniqueId val="{00000000-4A33-41F2-9E9F-D18CA9B158BD}"/>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42838143"/>
        <c:axId val="542830943"/>
      </c:lineChart>
      <c:catAx>
        <c:axId val="54283814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42830943"/>
        <c:crosses val="autoZero"/>
        <c:auto val="1"/>
        <c:lblAlgn val="ctr"/>
        <c:lblOffset val="100"/>
        <c:noMultiLvlLbl val="0"/>
      </c:catAx>
      <c:valAx>
        <c:axId val="542830943"/>
        <c:scaling>
          <c:orientation val="minMax"/>
        </c:scaling>
        <c:delete val="1"/>
        <c:axPos val="l"/>
        <c:numFmt formatCode="&quot;Rs.&quot;\ ##\.##,\ &quot;L&quot;" sourceLinked="1"/>
        <c:majorTickMark val="none"/>
        <c:minorTickMark val="none"/>
        <c:tickLblPos val="nextTo"/>
        <c:crossAx val="542838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[large_sales_dataset.xlsx]work4!PivotTable4</c:name>
    <c:fmtId val="7"/>
  </c:pivotSource>
  <c:chart>
    <c:autoTitleDeleted val="1"/>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circle"/>
          <c:size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7392829870768"/>
          <c:y val="7.7097505668934238E-2"/>
          <c:w val="0.80432875705018714"/>
          <c:h val="0.90022675736961455"/>
        </c:manualLayout>
      </c:layout>
      <c:barChart>
        <c:barDir val="bar"/>
        <c:grouping val="stacked"/>
        <c:varyColors val="0"/>
        <c:ser>
          <c:idx val="0"/>
          <c:order val="0"/>
          <c:tx>
            <c:strRef>
              <c:f>work4!$B$3</c:f>
              <c:strCache>
                <c:ptCount val="1"/>
                <c:pt idx="0">
                  <c:v>Total</c:v>
                </c:pt>
              </c:strCache>
            </c:strRef>
          </c:tx>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invertIfNegative val="0"/>
          <c:cat>
            <c:multiLvlStrRef>
              <c:f>work4!$A$4:$A$17</c:f>
              <c:multiLvlStrCache>
                <c:ptCount val="9"/>
                <c:lvl>
                  <c:pt idx="5">
                    <c:v>Furniture</c:v>
                  </c:pt>
                  <c:pt idx="6">
                    <c:v>Electronics</c:v>
                  </c:pt>
                  <c:pt idx="7">
                    <c:v>Accessories</c:v>
                  </c:pt>
                  <c:pt idx="8">
                    <c:v>Electronics</c:v>
                  </c:pt>
                </c:lvl>
                <c:lvl>
                  <c:pt idx="0">
                    <c:v>Monitor</c:v>
                  </c:pt>
                  <c:pt idx="1">
                    <c:v>Keyboard</c:v>
                  </c:pt>
                  <c:pt idx="2">
                    <c:v>Laptop</c:v>
                  </c:pt>
                  <c:pt idx="3">
                    <c:v>Headphones</c:v>
                  </c:pt>
                  <c:pt idx="4">
                    <c:v>Office Chair</c:v>
                  </c:pt>
                  <c:pt idx="5">
                    <c:v>Office Desk</c:v>
                  </c:pt>
                  <c:pt idx="6">
                    <c:v>Mouse</c:v>
                  </c:pt>
                  <c:pt idx="7">
                    <c:v>Laptop Bag</c:v>
                  </c:pt>
                  <c:pt idx="8">
                    <c:v>Printer</c:v>
                  </c:pt>
                </c:lvl>
              </c:multiLvlStrCache>
            </c:multiLvlStrRef>
          </c:cat>
          <c:val>
            <c:numRef>
              <c:f>work4!$B$4:$B$17</c:f>
              <c:numCache>
                <c:formatCode>General</c:formatCode>
                <c:ptCount val="9"/>
                <c:pt idx="0">
                  <c:v>13706843</c:v>
                </c:pt>
                <c:pt idx="1">
                  <c:v>12019421</c:v>
                </c:pt>
                <c:pt idx="2">
                  <c:v>10844992</c:v>
                </c:pt>
                <c:pt idx="3">
                  <c:v>10189264</c:v>
                </c:pt>
                <c:pt idx="4">
                  <c:v>9764060</c:v>
                </c:pt>
                <c:pt idx="5">
                  <c:v>9247097</c:v>
                </c:pt>
                <c:pt idx="6">
                  <c:v>8863357</c:v>
                </c:pt>
                <c:pt idx="7">
                  <c:v>7638060</c:v>
                </c:pt>
                <c:pt idx="8">
                  <c:v>7002990</c:v>
                </c:pt>
              </c:numCache>
            </c:numRef>
          </c:val>
          <c:extLst>
            <c:ext xmlns:c16="http://schemas.microsoft.com/office/drawing/2014/chart" uri="{C3380CC4-5D6E-409C-BE32-E72D297353CC}">
              <c16:uniqueId val="{00000000-DCB0-4287-B1C9-FDF25406F31B}"/>
            </c:ext>
          </c:extLst>
        </c:ser>
        <c:dLbls>
          <c:showLegendKey val="0"/>
          <c:showVal val="0"/>
          <c:showCatName val="0"/>
          <c:showSerName val="0"/>
          <c:showPercent val="0"/>
          <c:showBubbleSize val="0"/>
        </c:dLbls>
        <c:gapWidth val="150"/>
        <c:overlap val="100"/>
        <c:axId val="767137007"/>
        <c:axId val="767125967"/>
      </c:barChart>
      <c:catAx>
        <c:axId val="767137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7125967"/>
        <c:crosses val="autoZero"/>
        <c:auto val="1"/>
        <c:lblAlgn val="ctr"/>
        <c:lblOffset val="100"/>
        <c:noMultiLvlLbl val="0"/>
      </c:catAx>
      <c:valAx>
        <c:axId val="767125967"/>
        <c:scaling>
          <c:orientation val="minMax"/>
        </c:scaling>
        <c:delete val="1"/>
        <c:axPos val="b"/>
        <c:numFmt formatCode="General" sourceLinked="1"/>
        <c:majorTickMark val="none"/>
        <c:minorTickMark val="none"/>
        <c:tickLblPos val="nextTo"/>
        <c:crossAx val="7671370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[large_sales_dataset.xlsx]work2!PivotTable1</c:name>
    <c:fmtId val="7"/>
  </c:pivotSource>
  <c:chart>
    <c:title>
      <c:tx>
        <c:rich>
          <a:bodyPr rot="0" spcFirstLastPara="1" vertOverflow="ellipsis" vert="horz" wrap="square" anchor="ctr" anchorCtr="1"/>
          <a:lstStyle/>
          <a:p>
            <a:pPr>
              <a:defRPr lang="en-US" sz="1080" b="0" i="0" u="none" strike="noStrike" kern="1200" spc="0" baseline="0">
                <a:solidFill>
                  <a:schemeClr val="tx1">
                    <a:lumMod val="75000"/>
                    <a:lumOff val="25000"/>
                  </a:schemeClr>
                </a:solidFill>
                <a:latin typeface="+mn-lt"/>
                <a:ea typeface="+mn-ea"/>
                <a:cs typeface="+mn-cs"/>
              </a:defRPr>
            </a:pPr>
            <a:r>
              <a:rPr lang="en-US"/>
              <a:t> </a:t>
            </a:r>
          </a:p>
        </c:rich>
      </c:tx>
      <c:overlay val="0"/>
      <c:spPr>
        <a:noFill/>
        <a:ln>
          <a:noFill/>
        </a:ln>
        <a:effectLst/>
      </c:spPr>
      <c:txPr>
        <a:bodyPr rot="0" spcFirstLastPara="1" vertOverflow="ellipsis" vert="horz" wrap="square" anchor="ctr" anchorCtr="1"/>
        <a:lstStyle/>
        <a:p>
          <a:pPr>
            <a:defRPr lang="en-US" sz="1080" b="0" i="0" u="none" strike="noStrike" kern="1200" spc="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0.13333333333333333"/>
              <c:y val="-0.1203703703703704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c:spPr>
        <c:dLbl>
          <c:idx val="0"/>
          <c:layout>
            <c:manualLayout>
              <c:x val="0.17777777777777778"/>
              <c:y val="8.7962962962962882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277777777777778"/>
              <c:y val="3.7037037037037035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60000"/>
            </a:schemeClr>
          </a:solidFill>
          <a:ln w="19050">
            <a:solidFill>
              <a:schemeClr val="lt1"/>
            </a:solidFill>
          </a:ln>
          <a:effectLst/>
        </c:spPr>
        <c:dLbl>
          <c:idx val="0"/>
          <c:layout>
            <c:manualLayout>
              <c:x val="-0.13333333333333336"/>
              <c:y val="-7.8703703703703706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0.13333333333333333"/>
              <c:y val="-0.1203703703703704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17777777777777778"/>
              <c:y val="8.7962962962962882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277777777777778"/>
              <c:y val="3.7037037037037035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13333333333333336"/>
              <c:y val="-7.8703703703703706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0.13333333333333333"/>
              <c:y val="-0.1203703703703704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0.17777777777777778"/>
              <c:y val="8.7962962962962882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0.1277777777777778"/>
              <c:y val="3.7037037037037035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0.13333333333333336"/>
              <c:y val="-7.8703703703703706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marker>
          <c:symbol val="none"/>
        </c:marker>
        <c:dLbl>
          <c:idx val="0"/>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w="19050">
            <a:solidFill>
              <a:schemeClr val="lt1"/>
            </a:solidFill>
          </a:ln>
          <a:effectLst/>
        </c:spPr>
        <c:dLbl>
          <c:idx val="0"/>
          <c:layout>
            <c:manualLayout>
              <c:x val="0.13333333333333333"/>
              <c:y val="-0.1203703703703704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w="19050">
            <a:solidFill>
              <a:schemeClr val="lt1"/>
            </a:solidFill>
          </a:ln>
          <a:effectLst/>
        </c:spPr>
        <c:dLbl>
          <c:idx val="0"/>
          <c:layout>
            <c:manualLayout>
              <c:x val="0.17777777777777778"/>
              <c:y val="8.7962962962962882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w="19050">
            <a:solidFill>
              <a:schemeClr val="lt1"/>
            </a:solidFill>
          </a:ln>
          <a:effectLst/>
        </c:spPr>
        <c:dLbl>
          <c:idx val="0"/>
          <c:layout>
            <c:manualLayout>
              <c:x val="-0.1277777777777778"/>
              <c:y val="3.7037037037037035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w="19050">
            <a:solidFill>
              <a:schemeClr val="lt1"/>
            </a:solidFill>
          </a:ln>
          <a:effectLst/>
        </c:spPr>
        <c:dLbl>
          <c:idx val="0"/>
          <c:layout>
            <c:manualLayout>
              <c:x val="-0.13333333333333336"/>
              <c:y val="-7.8703703703703706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marker>
          <c:symbol val="none"/>
        </c:marker>
        <c:dLbl>
          <c:idx val="0"/>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w="19050">
            <a:solidFill>
              <a:schemeClr val="lt1"/>
            </a:solidFill>
          </a:ln>
          <a:effectLst/>
        </c:spPr>
        <c:dLbl>
          <c:idx val="0"/>
          <c:layout>
            <c:manualLayout>
              <c:x val="0.13333333333333333"/>
              <c:y val="-0.1203703703703704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w="19050">
            <a:solidFill>
              <a:schemeClr val="lt1"/>
            </a:solidFill>
          </a:ln>
          <a:effectLst/>
        </c:spPr>
        <c:dLbl>
          <c:idx val="0"/>
          <c:layout>
            <c:manualLayout>
              <c:x val="0.17777777777777778"/>
              <c:y val="8.7962962962962882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w="19050">
            <a:solidFill>
              <a:schemeClr val="lt1"/>
            </a:solidFill>
          </a:ln>
          <a:effectLst/>
        </c:spPr>
        <c:dLbl>
          <c:idx val="0"/>
          <c:layout>
            <c:manualLayout>
              <c:x val="-0.1277777777777778"/>
              <c:y val="3.7037037037037035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w="19050">
            <a:solidFill>
              <a:schemeClr val="lt1"/>
            </a:solidFill>
          </a:ln>
          <a:effectLst/>
        </c:spPr>
        <c:dLbl>
          <c:idx val="0"/>
          <c:layout>
            <c:manualLayout>
              <c:x val="-0.13333333333333336"/>
              <c:y val="-7.8703703703703706E-2"/>
            </c:manualLayout>
          </c:layout>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work2!$B$3</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5EAC-4165-956C-5991D917A617}"/>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5EAC-4165-956C-5991D917A617}"/>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5EAC-4165-956C-5991D917A617}"/>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5EAC-4165-956C-5991D917A617}"/>
              </c:ext>
            </c:extLst>
          </c:dPt>
          <c:dLbls>
            <c:dLbl>
              <c:idx val="0"/>
              <c:layout>
                <c:manualLayout>
                  <c:x val="0.13333333333333333"/>
                  <c:y val="-0.120370370370370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EAC-4165-956C-5991D917A617}"/>
                </c:ext>
              </c:extLst>
            </c:dLbl>
            <c:dLbl>
              <c:idx val="1"/>
              <c:layout>
                <c:manualLayout>
                  <c:x val="0.17777777777777778"/>
                  <c:y val="8.79629629629628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AC-4165-956C-5991D917A617}"/>
                </c:ext>
              </c:extLst>
            </c:dLbl>
            <c:dLbl>
              <c:idx val="2"/>
              <c:layout>
                <c:manualLayout>
                  <c:x val="-0.1277777777777778"/>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EAC-4165-956C-5991D917A617}"/>
                </c:ext>
              </c:extLst>
            </c:dLbl>
            <c:dLbl>
              <c:idx val="3"/>
              <c:layout>
                <c:manualLayout>
                  <c:x val="-0.13333333333333336"/>
                  <c:y val="-7.87037037037037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EAC-4165-956C-5991D917A617}"/>
                </c:ext>
              </c:extLst>
            </c:dLbl>
            <c:spPr>
              <a:solidFill>
                <a:schemeClr val="tx2">
                  <a:lumMod val="60000"/>
                  <a:lumOff val="40000"/>
                </a:schemeClr>
              </a:solidFill>
              <a:ln>
                <a:noFill/>
              </a:ln>
              <a:effectLst/>
            </c:spPr>
            <c:txPr>
              <a:bodyPr rot="0" spcFirstLastPara="1" vertOverflow="ellipsis" vert="horz" wrap="square" anchor="ctr" anchorCtr="1"/>
              <a:lstStyle/>
              <a:p>
                <a:pPr>
                  <a:defRPr lang="en-US"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work2!$A$4:$A$8</c:f>
              <c:strCache>
                <c:ptCount val="4"/>
                <c:pt idx="0">
                  <c:v>East</c:v>
                </c:pt>
                <c:pt idx="1">
                  <c:v>North</c:v>
                </c:pt>
                <c:pt idx="2">
                  <c:v>South</c:v>
                </c:pt>
                <c:pt idx="3">
                  <c:v>West</c:v>
                </c:pt>
              </c:strCache>
            </c:strRef>
          </c:cat>
          <c:val>
            <c:numRef>
              <c:f>work2!$B$4:$B$8</c:f>
              <c:numCache>
                <c:formatCode>"Rs."\ ##\.##,\ "L"</c:formatCode>
                <c:ptCount val="4"/>
                <c:pt idx="0">
                  <c:v>22734042</c:v>
                </c:pt>
                <c:pt idx="1">
                  <c:v>23033602</c:v>
                </c:pt>
                <c:pt idx="2">
                  <c:v>18647974</c:v>
                </c:pt>
                <c:pt idx="3">
                  <c:v>24860466</c:v>
                </c:pt>
              </c:numCache>
            </c:numRef>
          </c:val>
          <c:extLst>
            <c:ext xmlns:c16="http://schemas.microsoft.com/office/drawing/2014/chart" uri="{C3380CC4-5D6E-409C-BE32-E72D297353CC}">
              <c16:uniqueId val="{00000008-5EAC-4165-956C-5991D917A617}"/>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[large_sales_dataset.xlsx]work5!PivotTable5</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work5!$B$3</c:f>
              <c:strCache>
                <c:ptCount val="1"/>
                <c:pt idx="0">
                  <c:v>Sum of Sales</c:v>
                </c:pt>
              </c:strCache>
            </c:strRef>
          </c:tx>
          <c:spPr>
            <a:solidFill>
              <a:srgbClr val="FFC000"/>
            </a:solidFill>
            <a:ln>
              <a:noFill/>
            </a:ln>
            <a:effectLst/>
            <a:sp3d/>
          </c:spPr>
          <c:invertIfNegative val="0"/>
          <c:cat>
            <c:strRef>
              <c:f>work5!$A$4:$A$14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work5!$B$4:$B$14</c:f>
              <c:numCache>
                <c:formatCode>General</c:formatCode>
                <c:ptCount val="10"/>
                <c:pt idx="0">
                  <c:v>9606976</c:v>
                </c:pt>
                <c:pt idx="1">
                  <c:v>8328924</c:v>
                </c:pt>
                <c:pt idx="2">
                  <c:v>9143639</c:v>
                </c:pt>
                <c:pt idx="3">
                  <c:v>9935655</c:v>
                </c:pt>
                <c:pt idx="4">
                  <c:v>6469852</c:v>
                </c:pt>
                <c:pt idx="5">
                  <c:v>8098535</c:v>
                </c:pt>
                <c:pt idx="6">
                  <c:v>8520088</c:v>
                </c:pt>
                <c:pt idx="7">
                  <c:v>12530544</c:v>
                </c:pt>
                <c:pt idx="8">
                  <c:v>8388330</c:v>
                </c:pt>
                <c:pt idx="9">
                  <c:v>8253541</c:v>
                </c:pt>
              </c:numCache>
            </c:numRef>
          </c:val>
          <c:extLst>
            <c:ext xmlns:c16="http://schemas.microsoft.com/office/drawing/2014/chart" uri="{C3380CC4-5D6E-409C-BE32-E72D297353CC}">
              <c16:uniqueId val="{00000000-E7B2-4F1C-9D97-E91B1ADF73FA}"/>
            </c:ext>
          </c:extLst>
        </c:ser>
        <c:ser>
          <c:idx val="1"/>
          <c:order val="1"/>
          <c:tx>
            <c:strRef>
              <c:f>work5!$C$3</c:f>
              <c:strCache>
                <c:ptCount val="1"/>
                <c:pt idx="0">
                  <c:v>Sum of Profit</c:v>
                </c:pt>
              </c:strCache>
            </c:strRef>
          </c:tx>
          <c:spPr>
            <a:solidFill>
              <a:schemeClr val="accent2"/>
            </a:solidFill>
            <a:ln>
              <a:noFill/>
            </a:ln>
            <a:effectLst/>
            <a:sp3d/>
          </c:spPr>
          <c:invertIfNegative val="0"/>
          <c:cat>
            <c:strRef>
              <c:f>work5!$A$4:$A$14</c:f>
              <c:strCache>
                <c:ptCount val="10"/>
                <c:pt idx="0">
                  <c:v>Jan</c:v>
                </c:pt>
                <c:pt idx="1">
                  <c:v>Feb</c:v>
                </c:pt>
                <c:pt idx="2">
                  <c:v>Mar</c:v>
                </c:pt>
                <c:pt idx="3">
                  <c:v>Apr</c:v>
                </c:pt>
                <c:pt idx="4">
                  <c:v>May</c:v>
                </c:pt>
                <c:pt idx="5">
                  <c:v>Jun</c:v>
                </c:pt>
                <c:pt idx="6">
                  <c:v>Jul</c:v>
                </c:pt>
                <c:pt idx="7">
                  <c:v>Aug</c:v>
                </c:pt>
                <c:pt idx="8">
                  <c:v>Sep</c:v>
                </c:pt>
                <c:pt idx="9">
                  <c:v>Oct</c:v>
                </c:pt>
              </c:strCache>
            </c:strRef>
          </c:cat>
          <c:val>
            <c:numRef>
              <c:f>work5!$C$4:$C$14</c:f>
              <c:numCache>
                <c:formatCode>General</c:formatCode>
                <c:ptCount val="10"/>
                <c:pt idx="0">
                  <c:v>2626468</c:v>
                </c:pt>
                <c:pt idx="1">
                  <c:v>2153736</c:v>
                </c:pt>
                <c:pt idx="2">
                  <c:v>2228130</c:v>
                </c:pt>
                <c:pt idx="3">
                  <c:v>2036563</c:v>
                </c:pt>
                <c:pt idx="4">
                  <c:v>1626542</c:v>
                </c:pt>
                <c:pt idx="5">
                  <c:v>1890377</c:v>
                </c:pt>
                <c:pt idx="6">
                  <c:v>2209846</c:v>
                </c:pt>
                <c:pt idx="7">
                  <c:v>2683571</c:v>
                </c:pt>
                <c:pt idx="8">
                  <c:v>1959376</c:v>
                </c:pt>
                <c:pt idx="9">
                  <c:v>2129240</c:v>
                </c:pt>
              </c:numCache>
            </c:numRef>
          </c:val>
          <c:extLst>
            <c:ext xmlns:c16="http://schemas.microsoft.com/office/drawing/2014/chart" uri="{C3380CC4-5D6E-409C-BE32-E72D297353CC}">
              <c16:uniqueId val="{00000001-E7B2-4F1C-9D97-E91B1ADF73FA}"/>
            </c:ext>
          </c:extLst>
        </c:ser>
        <c:dLbls>
          <c:showLegendKey val="0"/>
          <c:showVal val="0"/>
          <c:showCatName val="0"/>
          <c:showSerName val="0"/>
          <c:showPercent val="0"/>
          <c:showBubbleSize val="0"/>
        </c:dLbls>
        <c:gapWidth val="155"/>
        <c:gapDepth val="140"/>
        <c:shape val="box"/>
        <c:axId val="767130287"/>
        <c:axId val="767136527"/>
        <c:axId val="0"/>
      </c:bar3DChart>
      <c:catAx>
        <c:axId val="767130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767136527"/>
        <c:crosses val="autoZero"/>
        <c:auto val="1"/>
        <c:lblAlgn val="ctr"/>
        <c:lblOffset val="100"/>
        <c:noMultiLvlLbl val="0"/>
      </c:catAx>
      <c:valAx>
        <c:axId val="76713652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7130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01">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485774</xdr:colOff>
      <xdr:row>3</xdr:row>
      <xdr:rowOff>128586</xdr:rowOff>
    </xdr:from>
    <xdr:to>
      <xdr:col>11</xdr:col>
      <xdr:colOff>609599</xdr:colOff>
      <xdr:row>19</xdr:row>
      <xdr:rowOff>114299</xdr:rowOff>
    </xdr:to>
    <xdr:graphicFrame macro="">
      <xdr:nvGraphicFramePr>
        <xdr:cNvPr id="2" name="Chart 1">
          <a:extLst>
            <a:ext uri="{FF2B5EF4-FFF2-40B4-BE49-F238E27FC236}">
              <a16:creationId xmlns:a16="http://schemas.microsoft.com/office/drawing/2014/main" id="{5D927316-15CA-4E3C-4C5D-4E93EF2C1D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28575</xdr:colOff>
      <xdr:row>3</xdr:row>
      <xdr:rowOff>147637</xdr:rowOff>
    </xdr:from>
    <xdr:to>
      <xdr:col>10</xdr:col>
      <xdr:colOff>333375</xdr:colOff>
      <xdr:row>18</xdr:row>
      <xdr:rowOff>33337</xdr:rowOff>
    </xdr:to>
    <xdr:graphicFrame macro="">
      <xdr:nvGraphicFramePr>
        <xdr:cNvPr id="2" name="Chart 1">
          <a:extLst>
            <a:ext uri="{FF2B5EF4-FFF2-40B4-BE49-F238E27FC236}">
              <a16:creationId xmlns:a16="http://schemas.microsoft.com/office/drawing/2014/main" id="{719951C2-9802-22AB-31C0-5A9A9EFB4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447675</xdr:colOff>
      <xdr:row>2</xdr:row>
      <xdr:rowOff>95250</xdr:rowOff>
    </xdr:from>
    <xdr:to>
      <xdr:col>10</xdr:col>
      <xdr:colOff>142875</xdr:colOff>
      <xdr:row>18</xdr:row>
      <xdr:rowOff>33337</xdr:rowOff>
    </xdr:to>
    <xdr:graphicFrame macro="">
      <xdr:nvGraphicFramePr>
        <xdr:cNvPr id="2" name="Chart 1">
          <a:extLst>
            <a:ext uri="{FF2B5EF4-FFF2-40B4-BE49-F238E27FC236}">
              <a16:creationId xmlns:a16="http://schemas.microsoft.com/office/drawing/2014/main" id="{D7F180AB-40B7-A20C-A092-067803ED5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28575</xdr:colOff>
      <xdr:row>3</xdr:row>
      <xdr:rowOff>147637</xdr:rowOff>
    </xdr:from>
    <xdr:to>
      <xdr:col>10</xdr:col>
      <xdr:colOff>333375</xdr:colOff>
      <xdr:row>18</xdr:row>
      <xdr:rowOff>33337</xdr:rowOff>
    </xdr:to>
    <xdr:graphicFrame macro="">
      <xdr:nvGraphicFramePr>
        <xdr:cNvPr id="2" name="Chart 1">
          <a:extLst>
            <a:ext uri="{FF2B5EF4-FFF2-40B4-BE49-F238E27FC236}">
              <a16:creationId xmlns:a16="http://schemas.microsoft.com/office/drawing/2014/main" id="{CDADE02B-A9B3-B2C1-93C7-564C34435A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66675</xdr:colOff>
      <xdr:row>3</xdr:row>
      <xdr:rowOff>33337</xdr:rowOff>
    </xdr:from>
    <xdr:to>
      <xdr:col>11</xdr:col>
      <xdr:colOff>371475</xdr:colOff>
      <xdr:row>17</xdr:row>
      <xdr:rowOff>109537</xdr:rowOff>
    </xdr:to>
    <xdr:graphicFrame macro="">
      <xdr:nvGraphicFramePr>
        <xdr:cNvPr id="2" name="Chart 1">
          <a:extLst>
            <a:ext uri="{FF2B5EF4-FFF2-40B4-BE49-F238E27FC236}">
              <a16:creationId xmlns:a16="http://schemas.microsoft.com/office/drawing/2014/main" id="{A2D08919-340D-D8A1-2CB7-42CDAD0E5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96630</xdr:colOff>
      <xdr:row>26</xdr:row>
      <xdr:rowOff>12421</xdr:rowOff>
    </xdr:from>
    <xdr:to>
      <xdr:col>6</xdr:col>
      <xdr:colOff>207064</xdr:colOff>
      <xdr:row>42</xdr:row>
      <xdr:rowOff>138544</xdr:rowOff>
    </xdr:to>
    <mc:AlternateContent xmlns:mc="http://schemas.openxmlformats.org/markup-compatibility/2006">
      <mc:Choice xmlns:a14="http://schemas.microsoft.com/office/drawing/2010/main" Requires="a14">
        <xdr:graphicFrame macro="">
          <xdr:nvGraphicFramePr>
            <xdr:cNvPr id="2" name="Months (Date)">
              <a:extLst>
                <a:ext uri="{FF2B5EF4-FFF2-40B4-BE49-F238E27FC236}">
                  <a16:creationId xmlns:a16="http://schemas.microsoft.com/office/drawing/2014/main" id="{4103DE27-3968-4AC8-849D-2A2AE77EBF2D}"/>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96630" y="4805647"/>
              <a:ext cx="3797531" cy="3075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135849</xdr:colOff>
      <xdr:row>34</xdr:row>
      <xdr:rowOff>21647</xdr:rowOff>
    </xdr:from>
    <xdr:to>
      <xdr:col>33</xdr:col>
      <xdr:colOff>363682</xdr:colOff>
      <xdr:row>40</xdr:row>
      <xdr:rowOff>69273</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F6F97F98-5E74-40D7-830A-F4B1267E57F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498752" y="6289712"/>
              <a:ext cx="5143962" cy="1153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79564</xdr:colOff>
      <xdr:row>43</xdr:row>
      <xdr:rowOff>30872</xdr:rowOff>
    </xdr:from>
    <xdr:to>
      <xdr:col>6</xdr:col>
      <xdr:colOff>203802</xdr:colOff>
      <xdr:row>59</xdr:row>
      <xdr:rowOff>127502</xdr:rowOff>
    </xdr:to>
    <mc:AlternateContent xmlns:mc="http://schemas.openxmlformats.org/markup-compatibility/2006">
      <mc:Choice xmlns:a14="http://schemas.microsoft.com/office/drawing/2010/main" Requires="a14">
        <xdr:graphicFrame macro="">
          <xdr:nvGraphicFramePr>
            <xdr:cNvPr id="4" name="Product">
              <a:extLst>
                <a:ext uri="{FF2B5EF4-FFF2-40B4-BE49-F238E27FC236}">
                  <a16:creationId xmlns:a16="http://schemas.microsoft.com/office/drawing/2014/main" id="{A3D443FF-054F-4089-B2BE-A8DB35C7667B}"/>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9564" y="7958130"/>
              <a:ext cx="3811335" cy="30463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205820</xdr:colOff>
      <xdr:row>7</xdr:row>
      <xdr:rowOff>124239</xdr:rowOff>
    </xdr:from>
    <xdr:to>
      <xdr:col>33</xdr:col>
      <xdr:colOff>207818</xdr:colOff>
      <xdr:row>13</xdr:row>
      <xdr:rowOff>41413</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EC6FF2EE-8115-4108-AD9B-FE40F06E62C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568723" y="1414723"/>
              <a:ext cx="4918127" cy="1023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56181</xdr:colOff>
      <xdr:row>0</xdr:row>
      <xdr:rowOff>14771</xdr:rowOff>
    </xdr:from>
    <xdr:to>
      <xdr:col>33</xdr:col>
      <xdr:colOff>242455</xdr:colOff>
      <xdr:row>7</xdr:row>
      <xdr:rowOff>71921</xdr:rowOff>
    </xdr:to>
    <xdr:sp macro="" textlink="">
      <xdr:nvSpPr>
        <xdr:cNvPr id="6" name="Rectangle: Rounded Corners 5">
          <a:extLst>
            <a:ext uri="{FF2B5EF4-FFF2-40B4-BE49-F238E27FC236}">
              <a16:creationId xmlns:a16="http://schemas.microsoft.com/office/drawing/2014/main" id="{9367C51A-3BF1-AD9D-FC6C-8F371EA553D9}"/>
            </a:ext>
          </a:extLst>
        </xdr:cNvPr>
        <xdr:cNvSpPr/>
      </xdr:nvSpPr>
      <xdr:spPr>
        <a:xfrm>
          <a:off x="56181" y="14771"/>
          <a:ext cx="20188774" cy="1390650"/>
        </a:xfrm>
        <a:prstGeom prst="roundRect">
          <a:avLst/>
        </a:prstGeom>
        <a:solidFill>
          <a:schemeClr val="tx2">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latin typeface="Times New Roman" panose="02020603050405020304" pitchFamily="18" charset="0"/>
              <a:cs typeface="Times New Roman" panose="02020603050405020304" pitchFamily="18" charset="0"/>
            </a:rPr>
            <a:t>SALES PERFORMANCE DASHBOARD</a:t>
          </a:r>
        </a:p>
      </xdr:txBody>
    </xdr:sp>
    <xdr:clientData/>
  </xdr:twoCellAnchor>
  <xdr:twoCellAnchor>
    <xdr:from>
      <xdr:col>6</xdr:col>
      <xdr:colOff>264767</xdr:colOff>
      <xdr:row>28</xdr:row>
      <xdr:rowOff>49558</xdr:rowOff>
    </xdr:from>
    <xdr:to>
      <xdr:col>25</xdr:col>
      <xdr:colOff>64943</xdr:colOff>
      <xdr:row>44</xdr:row>
      <xdr:rowOff>55218</xdr:rowOff>
    </xdr:to>
    <xdr:grpSp>
      <xdr:nvGrpSpPr>
        <xdr:cNvPr id="27" name="Group 26">
          <a:extLst>
            <a:ext uri="{FF2B5EF4-FFF2-40B4-BE49-F238E27FC236}">
              <a16:creationId xmlns:a16="http://schemas.microsoft.com/office/drawing/2014/main" id="{2C90A437-9B0A-BC2D-679D-A2ED4225979E}"/>
            </a:ext>
          </a:extLst>
        </xdr:cNvPr>
        <xdr:cNvGrpSpPr/>
      </xdr:nvGrpSpPr>
      <xdr:grpSpPr>
        <a:xfrm>
          <a:off x="3951864" y="5211493"/>
          <a:ext cx="11475982" cy="2955338"/>
          <a:chOff x="2667000" y="2447926"/>
          <a:chExt cx="6667500" cy="3152774"/>
        </a:xfrm>
        <a:solidFill>
          <a:schemeClr val="accent1"/>
        </a:solidFill>
      </xdr:grpSpPr>
      <xdr:sp macro="" textlink="">
        <xdr:nvSpPr>
          <xdr:cNvPr id="25" name="Rectangle: Rounded Corners 24">
            <a:extLst>
              <a:ext uri="{FF2B5EF4-FFF2-40B4-BE49-F238E27FC236}">
                <a16:creationId xmlns:a16="http://schemas.microsoft.com/office/drawing/2014/main" id="{D8917685-64DD-4642-A4E7-E3D1E65A299A}"/>
              </a:ext>
            </a:extLst>
          </xdr:cNvPr>
          <xdr:cNvSpPr/>
        </xdr:nvSpPr>
        <xdr:spPr>
          <a:xfrm>
            <a:off x="2667000" y="2447926"/>
            <a:ext cx="6667500" cy="3152774"/>
          </a:xfrm>
          <a:prstGeom prst="roundRect">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solidFill>
                  <a:schemeClr val="bg1"/>
                </a:solidFill>
              </a:rPr>
              <a:t>Monthly Sales Trend</a:t>
            </a:r>
          </a:p>
        </xdr:txBody>
      </xdr:sp>
      <xdr:graphicFrame macro="">
        <xdr:nvGraphicFramePr>
          <xdr:cNvPr id="26" name="Chart 25">
            <a:extLst>
              <a:ext uri="{FF2B5EF4-FFF2-40B4-BE49-F238E27FC236}">
                <a16:creationId xmlns:a16="http://schemas.microsoft.com/office/drawing/2014/main" id="{16317FCB-E161-46E6-AF61-C7D6BEC784D6}"/>
              </a:ext>
            </a:extLst>
          </xdr:cNvPr>
          <xdr:cNvGraphicFramePr>
            <a:graphicFrameLocks/>
          </xdr:cNvGraphicFramePr>
        </xdr:nvGraphicFramePr>
        <xdr:xfrm>
          <a:off x="2867026" y="2905125"/>
          <a:ext cx="6305550" cy="2633664"/>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25</xdr:col>
      <xdr:colOff>43296</xdr:colOff>
      <xdr:row>41</xdr:row>
      <xdr:rowOff>0</xdr:rowOff>
    </xdr:from>
    <xdr:to>
      <xdr:col>33</xdr:col>
      <xdr:colOff>536864</xdr:colOff>
      <xdr:row>59</xdr:row>
      <xdr:rowOff>120713</xdr:rowOff>
    </xdr:to>
    <xdr:grpSp>
      <xdr:nvGrpSpPr>
        <xdr:cNvPr id="36" name="Group 35">
          <a:extLst>
            <a:ext uri="{FF2B5EF4-FFF2-40B4-BE49-F238E27FC236}">
              <a16:creationId xmlns:a16="http://schemas.microsoft.com/office/drawing/2014/main" id="{EFE796B2-C803-A35A-9D16-A18DEC9D3113}"/>
            </a:ext>
          </a:extLst>
        </xdr:cNvPr>
        <xdr:cNvGrpSpPr/>
      </xdr:nvGrpSpPr>
      <xdr:grpSpPr>
        <a:xfrm>
          <a:off x="15406199" y="7558548"/>
          <a:ext cx="5409697" cy="3439100"/>
          <a:chOff x="8001000" y="2390774"/>
          <a:chExt cx="2657476" cy="2790825"/>
        </a:xfrm>
      </xdr:grpSpPr>
      <xdr:sp macro="" textlink="">
        <xdr:nvSpPr>
          <xdr:cNvPr id="33" name="Rectangle: Rounded Corners 32">
            <a:extLst>
              <a:ext uri="{FF2B5EF4-FFF2-40B4-BE49-F238E27FC236}">
                <a16:creationId xmlns:a16="http://schemas.microsoft.com/office/drawing/2014/main" id="{9624F073-0A58-46D5-07A0-5656F17DC778}"/>
              </a:ext>
            </a:extLst>
          </xdr:cNvPr>
          <xdr:cNvSpPr/>
        </xdr:nvSpPr>
        <xdr:spPr>
          <a:xfrm>
            <a:off x="8001000" y="2390774"/>
            <a:ext cx="2657476" cy="2790825"/>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Sales</a:t>
            </a:r>
            <a:r>
              <a:rPr lang="en-US" sz="1600" baseline="0"/>
              <a:t> by </a:t>
            </a:r>
            <a:r>
              <a:rPr lang="en-US" sz="1800" baseline="0"/>
              <a:t>product</a:t>
            </a:r>
            <a:r>
              <a:rPr lang="en-US" sz="1600" baseline="0"/>
              <a:t> category</a:t>
            </a:r>
            <a:endParaRPr lang="en-US" sz="1600"/>
          </a:p>
        </xdr:txBody>
      </xdr:sp>
      <xdr:graphicFrame macro="">
        <xdr:nvGraphicFramePr>
          <xdr:cNvPr id="34" name="Chart 33">
            <a:extLst>
              <a:ext uri="{FF2B5EF4-FFF2-40B4-BE49-F238E27FC236}">
                <a16:creationId xmlns:a16="http://schemas.microsoft.com/office/drawing/2014/main" id="{F83F74A6-D648-48ED-BD09-9F09840B9A94}"/>
              </a:ext>
            </a:extLst>
          </xdr:cNvPr>
          <xdr:cNvGraphicFramePr>
            <a:graphicFrameLocks/>
          </xdr:cNvGraphicFramePr>
        </xdr:nvGraphicFramePr>
        <xdr:xfrm>
          <a:off x="8137940" y="2844479"/>
          <a:ext cx="2447925" cy="2305051"/>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6</xdr:col>
      <xdr:colOff>239644</xdr:colOff>
      <xdr:row>44</xdr:row>
      <xdr:rowOff>52870</xdr:rowOff>
    </xdr:from>
    <xdr:to>
      <xdr:col>25</xdr:col>
      <xdr:colOff>21648</xdr:colOff>
      <xdr:row>59</xdr:row>
      <xdr:rowOff>82826</xdr:rowOff>
    </xdr:to>
    <xdr:grpSp>
      <xdr:nvGrpSpPr>
        <xdr:cNvPr id="38" name="Group 37">
          <a:extLst>
            <a:ext uri="{FF2B5EF4-FFF2-40B4-BE49-F238E27FC236}">
              <a16:creationId xmlns:a16="http://schemas.microsoft.com/office/drawing/2014/main" id="{CD02A811-3392-E760-3B41-AA10B413E136}"/>
            </a:ext>
          </a:extLst>
        </xdr:cNvPr>
        <xdr:cNvGrpSpPr/>
      </xdr:nvGrpSpPr>
      <xdr:grpSpPr>
        <a:xfrm>
          <a:off x="3926741" y="8164483"/>
          <a:ext cx="11457810" cy="2795278"/>
          <a:chOff x="5943598" y="5210175"/>
          <a:chExt cx="4895851" cy="2914650"/>
        </a:xfrm>
      </xdr:grpSpPr>
      <xdr:sp macro="" textlink="">
        <xdr:nvSpPr>
          <xdr:cNvPr id="35" name="Rectangle: Rounded Corners 34">
            <a:extLst>
              <a:ext uri="{FF2B5EF4-FFF2-40B4-BE49-F238E27FC236}">
                <a16:creationId xmlns:a16="http://schemas.microsoft.com/office/drawing/2014/main" id="{FBFC8FFE-E83D-CA37-1285-B43B8B5BC1DB}"/>
              </a:ext>
            </a:extLst>
          </xdr:cNvPr>
          <xdr:cNvSpPr/>
        </xdr:nvSpPr>
        <xdr:spPr>
          <a:xfrm>
            <a:off x="5943598" y="5210175"/>
            <a:ext cx="4895851" cy="29146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Top 5 Products by Sales</a:t>
            </a:r>
          </a:p>
        </xdr:txBody>
      </xdr:sp>
      <xdr:graphicFrame macro="">
        <xdr:nvGraphicFramePr>
          <xdr:cNvPr id="37" name="Chart 36">
            <a:extLst>
              <a:ext uri="{FF2B5EF4-FFF2-40B4-BE49-F238E27FC236}">
                <a16:creationId xmlns:a16="http://schemas.microsoft.com/office/drawing/2014/main" id="{5DF0FA70-40F3-451B-8434-F98C93533564}"/>
              </a:ext>
            </a:extLst>
          </xdr:cNvPr>
          <xdr:cNvGraphicFramePr>
            <a:graphicFrameLocks/>
          </xdr:cNvGraphicFramePr>
        </xdr:nvGraphicFramePr>
        <xdr:xfrm>
          <a:off x="6151531" y="5550965"/>
          <a:ext cx="4461085" cy="238552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25</xdr:col>
      <xdr:colOff>17318</xdr:colOff>
      <xdr:row>13</xdr:row>
      <xdr:rowOff>77932</xdr:rowOff>
    </xdr:from>
    <xdr:to>
      <xdr:col>33</xdr:col>
      <xdr:colOff>398318</xdr:colOff>
      <xdr:row>33</xdr:row>
      <xdr:rowOff>142875</xdr:rowOff>
    </xdr:to>
    <xdr:grpSp>
      <xdr:nvGrpSpPr>
        <xdr:cNvPr id="42" name="Group 41">
          <a:extLst>
            <a:ext uri="{FF2B5EF4-FFF2-40B4-BE49-F238E27FC236}">
              <a16:creationId xmlns:a16="http://schemas.microsoft.com/office/drawing/2014/main" id="{563E9C5D-D0A3-4169-99DB-A6EE0E51F19D}"/>
            </a:ext>
          </a:extLst>
        </xdr:cNvPr>
        <xdr:cNvGrpSpPr/>
      </xdr:nvGrpSpPr>
      <xdr:grpSpPr>
        <a:xfrm>
          <a:off x="15380221" y="2474545"/>
          <a:ext cx="5297129" cy="3752040"/>
          <a:chOff x="2781299" y="5239127"/>
          <a:chExt cx="3248026" cy="3009900"/>
        </a:xfrm>
      </xdr:grpSpPr>
      <xdr:sp macro="" textlink="">
        <xdr:nvSpPr>
          <xdr:cNvPr id="43" name="Rectangle: Rounded Corners 42">
            <a:extLst>
              <a:ext uri="{FF2B5EF4-FFF2-40B4-BE49-F238E27FC236}">
                <a16:creationId xmlns:a16="http://schemas.microsoft.com/office/drawing/2014/main" id="{A59AB540-F0A3-9AF6-DDE4-DF22A95FA61D}"/>
              </a:ext>
            </a:extLst>
          </xdr:cNvPr>
          <xdr:cNvSpPr/>
        </xdr:nvSpPr>
        <xdr:spPr>
          <a:xfrm>
            <a:off x="2809874" y="5239127"/>
            <a:ext cx="3219451" cy="300990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a:t>Region</a:t>
            </a:r>
            <a:r>
              <a:rPr lang="en-US" sz="1600" baseline="0"/>
              <a:t> wise sales</a:t>
            </a:r>
            <a:endParaRPr lang="en-US" sz="1600"/>
          </a:p>
        </xdr:txBody>
      </xdr:sp>
      <xdr:graphicFrame macro="">
        <xdr:nvGraphicFramePr>
          <xdr:cNvPr id="44" name="Chart 43">
            <a:extLst>
              <a:ext uri="{FF2B5EF4-FFF2-40B4-BE49-F238E27FC236}">
                <a16:creationId xmlns:a16="http://schemas.microsoft.com/office/drawing/2014/main" id="{12EE1FFF-59BC-DB96-3619-62269DB3C9C7}"/>
              </a:ext>
            </a:extLst>
          </xdr:cNvPr>
          <xdr:cNvGraphicFramePr>
            <a:graphicFrameLocks/>
          </xdr:cNvGraphicFramePr>
        </xdr:nvGraphicFramePr>
        <xdr:xfrm>
          <a:off x="2781299" y="5344656"/>
          <a:ext cx="3162301" cy="2733676"/>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38100</xdr:colOff>
      <xdr:row>7</xdr:row>
      <xdr:rowOff>133350</xdr:rowOff>
    </xdr:from>
    <xdr:to>
      <xdr:col>6</xdr:col>
      <xdr:colOff>179455</xdr:colOff>
      <xdr:row>13</xdr:row>
      <xdr:rowOff>82826</xdr:rowOff>
    </xdr:to>
    <xdr:grpSp>
      <xdr:nvGrpSpPr>
        <xdr:cNvPr id="55" name="Group 54">
          <a:extLst>
            <a:ext uri="{FF2B5EF4-FFF2-40B4-BE49-F238E27FC236}">
              <a16:creationId xmlns:a16="http://schemas.microsoft.com/office/drawing/2014/main" id="{755BBFD7-C62C-B3E4-A842-0F805216482D}"/>
            </a:ext>
          </a:extLst>
        </xdr:cNvPr>
        <xdr:cNvGrpSpPr/>
      </xdr:nvGrpSpPr>
      <xdr:grpSpPr>
        <a:xfrm>
          <a:off x="38100" y="1423834"/>
          <a:ext cx="3828452" cy="1055605"/>
          <a:chOff x="38100" y="1486176"/>
          <a:chExt cx="3785703" cy="1109041"/>
        </a:xfrm>
      </xdr:grpSpPr>
      <xdr:grpSp>
        <xdr:nvGrpSpPr>
          <xdr:cNvPr id="10" name="Group 9">
            <a:extLst>
              <a:ext uri="{FF2B5EF4-FFF2-40B4-BE49-F238E27FC236}">
                <a16:creationId xmlns:a16="http://schemas.microsoft.com/office/drawing/2014/main" id="{D2024B2C-A130-81D0-550A-7E0511C0228E}"/>
              </a:ext>
            </a:extLst>
          </xdr:cNvPr>
          <xdr:cNvGrpSpPr/>
        </xdr:nvGrpSpPr>
        <xdr:grpSpPr>
          <a:xfrm>
            <a:off x="38100" y="1486176"/>
            <a:ext cx="3785703" cy="1109041"/>
            <a:chOff x="38101" y="1466850"/>
            <a:chExt cx="2609849" cy="885825"/>
          </a:xfrm>
        </xdr:grpSpPr>
        <xdr:sp macro="" textlink="">
          <xdr:nvSpPr>
            <xdr:cNvPr id="8" name="Rectangle: Rounded Corners 7">
              <a:extLst>
                <a:ext uri="{FF2B5EF4-FFF2-40B4-BE49-F238E27FC236}">
                  <a16:creationId xmlns:a16="http://schemas.microsoft.com/office/drawing/2014/main" id="{66168025-69C7-453B-A102-75484190F47F}"/>
                </a:ext>
              </a:extLst>
            </xdr:cNvPr>
            <xdr:cNvSpPr/>
          </xdr:nvSpPr>
          <xdr:spPr>
            <a:xfrm>
              <a:off x="38101" y="1466850"/>
              <a:ext cx="2609849" cy="885825"/>
            </a:xfrm>
            <a:prstGeom prst="roundRect">
              <a:avLst/>
            </a:prstGeom>
            <a:solidFill>
              <a:schemeClr val="bg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1C99EB7D-1676-43D4-8EDB-FF432938BFDA}"/>
                </a:ext>
              </a:extLst>
            </xdr:cNvPr>
            <xdr:cNvSpPr/>
          </xdr:nvSpPr>
          <xdr:spPr>
            <a:xfrm>
              <a:off x="104835" y="1562100"/>
              <a:ext cx="733424" cy="695325"/>
            </a:xfrm>
            <a:prstGeom prst="roundRect">
              <a:avLst/>
            </a:prstGeom>
            <a:solidFill>
              <a:schemeClr val="accent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sp macro="" textlink="">
        <xdr:nvSpPr>
          <xdr:cNvPr id="51" name="TextBox 50">
            <a:extLst>
              <a:ext uri="{FF2B5EF4-FFF2-40B4-BE49-F238E27FC236}">
                <a16:creationId xmlns:a16="http://schemas.microsoft.com/office/drawing/2014/main" id="{F0C8FD81-C75A-1424-BCA2-54428115B529}"/>
              </a:ext>
            </a:extLst>
          </xdr:cNvPr>
          <xdr:cNvSpPr txBox="1"/>
        </xdr:nvSpPr>
        <xdr:spPr>
          <a:xfrm>
            <a:off x="1587500" y="1739348"/>
            <a:ext cx="1877391"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u="none"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TOTAL</a:t>
            </a:r>
            <a:r>
              <a:rPr lang="en-US" sz="2000" b="0" u="none"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SALES</a:t>
            </a:r>
          </a:p>
        </xdr:txBody>
      </xdr:sp>
      <xdr:sp macro="" textlink="'Sales data'!N7">
        <xdr:nvSpPr>
          <xdr:cNvPr id="54" name="TextBox 53">
            <a:extLst>
              <a:ext uri="{FF2B5EF4-FFF2-40B4-BE49-F238E27FC236}">
                <a16:creationId xmlns:a16="http://schemas.microsoft.com/office/drawing/2014/main" id="{2FB8DC53-2C76-EABF-D80A-C9F91B8116C8}"/>
              </a:ext>
            </a:extLst>
          </xdr:cNvPr>
          <xdr:cNvSpPr txBox="1"/>
        </xdr:nvSpPr>
        <xdr:spPr>
          <a:xfrm>
            <a:off x="1766957" y="2043044"/>
            <a:ext cx="1546087"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3E7EF32-3831-4289-8F61-BF8B02D4CECC}" type="TxLink">
              <a:rPr lang="en-US" sz="2000" b="0" i="0" u="none" strike="noStrike">
                <a:solidFill>
                  <a:schemeClr val="accent1"/>
                </a:solidFill>
                <a:latin typeface="Calibri"/>
                <a:cs typeface="Calibri"/>
              </a:rPr>
              <a:pPr algn="ctr"/>
              <a:t> 89,276,084 </a:t>
            </a:fld>
            <a:endParaRPr lang="en-US" sz="4400">
              <a:solidFill>
                <a:schemeClr val="accent1"/>
              </a:solidFill>
            </a:endParaRPr>
          </a:p>
        </xdr:txBody>
      </xdr:sp>
    </xdr:grpSp>
    <xdr:clientData/>
  </xdr:twoCellAnchor>
  <xdr:twoCellAnchor>
    <xdr:from>
      <xdr:col>6</xdr:col>
      <xdr:colOff>217556</xdr:colOff>
      <xdr:row>7</xdr:row>
      <xdr:rowOff>133350</xdr:rowOff>
    </xdr:from>
    <xdr:to>
      <xdr:col>12</xdr:col>
      <xdr:colOff>358911</xdr:colOff>
      <xdr:row>13</xdr:row>
      <xdr:rowOff>82826</xdr:rowOff>
    </xdr:to>
    <xdr:grpSp>
      <xdr:nvGrpSpPr>
        <xdr:cNvPr id="56" name="Group 55">
          <a:extLst>
            <a:ext uri="{FF2B5EF4-FFF2-40B4-BE49-F238E27FC236}">
              <a16:creationId xmlns:a16="http://schemas.microsoft.com/office/drawing/2014/main" id="{D8F9E5BD-313D-BB95-F44C-FCFE1334AD35}"/>
            </a:ext>
          </a:extLst>
        </xdr:cNvPr>
        <xdr:cNvGrpSpPr/>
      </xdr:nvGrpSpPr>
      <xdr:grpSpPr>
        <a:xfrm>
          <a:off x="3904653" y="1423834"/>
          <a:ext cx="3828452" cy="1055605"/>
          <a:chOff x="38100" y="1486176"/>
          <a:chExt cx="3785703" cy="1109041"/>
        </a:xfrm>
      </xdr:grpSpPr>
      <xdr:grpSp>
        <xdr:nvGrpSpPr>
          <xdr:cNvPr id="57" name="Group 56">
            <a:extLst>
              <a:ext uri="{FF2B5EF4-FFF2-40B4-BE49-F238E27FC236}">
                <a16:creationId xmlns:a16="http://schemas.microsoft.com/office/drawing/2014/main" id="{25C78C13-5D27-757B-C3EC-07458AAC0BD7}"/>
              </a:ext>
            </a:extLst>
          </xdr:cNvPr>
          <xdr:cNvGrpSpPr/>
        </xdr:nvGrpSpPr>
        <xdr:grpSpPr>
          <a:xfrm>
            <a:off x="38100" y="1486176"/>
            <a:ext cx="3785703" cy="1109041"/>
            <a:chOff x="38101" y="1466850"/>
            <a:chExt cx="2609849" cy="885825"/>
          </a:xfrm>
        </xdr:grpSpPr>
        <xdr:sp macro="" textlink="">
          <xdr:nvSpPr>
            <xdr:cNvPr id="60" name="Rectangle: Rounded Corners 59">
              <a:extLst>
                <a:ext uri="{FF2B5EF4-FFF2-40B4-BE49-F238E27FC236}">
                  <a16:creationId xmlns:a16="http://schemas.microsoft.com/office/drawing/2014/main" id="{434B876E-2B2D-C672-7004-0376021A9D9C}"/>
                </a:ext>
              </a:extLst>
            </xdr:cNvPr>
            <xdr:cNvSpPr/>
          </xdr:nvSpPr>
          <xdr:spPr>
            <a:xfrm>
              <a:off x="38101" y="1466850"/>
              <a:ext cx="2609849" cy="885825"/>
            </a:xfrm>
            <a:prstGeom prst="roundRect">
              <a:avLst/>
            </a:prstGeom>
            <a:solidFill>
              <a:schemeClr val="bg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61" name="Rectangle: Rounded Corners 60">
              <a:extLst>
                <a:ext uri="{FF2B5EF4-FFF2-40B4-BE49-F238E27FC236}">
                  <a16:creationId xmlns:a16="http://schemas.microsoft.com/office/drawing/2014/main" id="{877EABAD-AE86-1DBD-6B1E-46054776CF3B}"/>
                </a:ext>
              </a:extLst>
            </xdr:cNvPr>
            <xdr:cNvSpPr/>
          </xdr:nvSpPr>
          <xdr:spPr>
            <a:xfrm>
              <a:off x="104835" y="1562100"/>
              <a:ext cx="733424" cy="695325"/>
            </a:xfrm>
            <a:prstGeom prst="roundRect">
              <a:avLst/>
            </a:prstGeom>
            <a:solidFill>
              <a:schemeClr val="accent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sp macro="" textlink="">
        <xdr:nvSpPr>
          <xdr:cNvPr id="58" name="TextBox 57">
            <a:extLst>
              <a:ext uri="{FF2B5EF4-FFF2-40B4-BE49-F238E27FC236}">
                <a16:creationId xmlns:a16="http://schemas.microsoft.com/office/drawing/2014/main" id="{63E99CD3-4340-A254-9961-83CCA5F64013}"/>
              </a:ext>
            </a:extLst>
          </xdr:cNvPr>
          <xdr:cNvSpPr txBox="1"/>
        </xdr:nvSpPr>
        <xdr:spPr>
          <a:xfrm>
            <a:off x="1587500" y="1739348"/>
            <a:ext cx="2001631"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u="none"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TOTAL</a:t>
            </a:r>
            <a:r>
              <a:rPr lang="en-US" sz="2000" b="0" u="none"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PROFIT</a:t>
            </a:r>
          </a:p>
        </xdr:txBody>
      </xdr:sp>
      <xdr:sp macro="" textlink="'Sales data'!N11">
        <xdr:nvSpPr>
          <xdr:cNvPr id="59" name="TextBox 58">
            <a:extLst>
              <a:ext uri="{FF2B5EF4-FFF2-40B4-BE49-F238E27FC236}">
                <a16:creationId xmlns:a16="http://schemas.microsoft.com/office/drawing/2014/main" id="{3BDF406B-4FB2-E939-382B-573D68071916}"/>
              </a:ext>
            </a:extLst>
          </xdr:cNvPr>
          <xdr:cNvSpPr txBox="1"/>
        </xdr:nvSpPr>
        <xdr:spPr>
          <a:xfrm>
            <a:off x="1766957" y="2043044"/>
            <a:ext cx="1546087"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A110F0-1858-41A8-9CD0-DB0799D15C24}" type="TxLink">
              <a:rPr lang="en-US" sz="2000" b="0" i="0" u="none" strike="noStrike">
                <a:solidFill>
                  <a:schemeClr val="accent1"/>
                </a:solidFill>
                <a:latin typeface="Calibri"/>
                <a:cs typeface="Calibri"/>
              </a:rPr>
              <a:pPr algn="ctr"/>
              <a:t> 21,543,849 </a:t>
            </a:fld>
            <a:endParaRPr lang="en-US" sz="7200">
              <a:solidFill>
                <a:schemeClr val="accent1"/>
              </a:solidFill>
            </a:endParaRPr>
          </a:p>
        </xdr:txBody>
      </xdr:sp>
    </xdr:grpSp>
    <xdr:clientData/>
  </xdr:twoCellAnchor>
  <xdr:twoCellAnchor>
    <xdr:from>
      <xdr:col>12</xdr:col>
      <xdr:colOff>397013</xdr:colOff>
      <xdr:row>7</xdr:row>
      <xdr:rowOff>133350</xdr:rowOff>
    </xdr:from>
    <xdr:to>
      <xdr:col>18</xdr:col>
      <xdr:colOff>538369</xdr:colOff>
      <xdr:row>13</xdr:row>
      <xdr:rowOff>82826</xdr:rowOff>
    </xdr:to>
    <xdr:grpSp>
      <xdr:nvGrpSpPr>
        <xdr:cNvPr id="62" name="Group 61">
          <a:extLst>
            <a:ext uri="{FF2B5EF4-FFF2-40B4-BE49-F238E27FC236}">
              <a16:creationId xmlns:a16="http://schemas.microsoft.com/office/drawing/2014/main" id="{B5311B84-A5F7-F7E9-97AE-ACB29E549FB0}"/>
            </a:ext>
          </a:extLst>
        </xdr:cNvPr>
        <xdr:cNvGrpSpPr/>
      </xdr:nvGrpSpPr>
      <xdr:grpSpPr>
        <a:xfrm>
          <a:off x="7771207" y="1423834"/>
          <a:ext cx="3828452" cy="1055605"/>
          <a:chOff x="38100" y="1486176"/>
          <a:chExt cx="3785703" cy="1109041"/>
        </a:xfrm>
      </xdr:grpSpPr>
      <xdr:grpSp>
        <xdr:nvGrpSpPr>
          <xdr:cNvPr id="63" name="Group 62">
            <a:extLst>
              <a:ext uri="{FF2B5EF4-FFF2-40B4-BE49-F238E27FC236}">
                <a16:creationId xmlns:a16="http://schemas.microsoft.com/office/drawing/2014/main" id="{8678038F-A7C7-8834-7937-08CF78C4270F}"/>
              </a:ext>
            </a:extLst>
          </xdr:cNvPr>
          <xdr:cNvGrpSpPr/>
        </xdr:nvGrpSpPr>
        <xdr:grpSpPr>
          <a:xfrm>
            <a:off x="38100" y="1486176"/>
            <a:ext cx="3785703" cy="1109041"/>
            <a:chOff x="38101" y="1466850"/>
            <a:chExt cx="2609849" cy="885825"/>
          </a:xfrm>
        </xdr:grpSpPr>
        <xdr:sp macro="" textlink="">
          <xdr:nvSpPr>
            <xdr:cNvPr id="66" name="Rectangle: Rounded Corners 65">
              <a:extLst>
                <a:ext uri="{FF2B5EF4-FFF2-40B4-BE49-F238E27FC236}">
                  <a16:creationId xmlns:a16="http://schemas.microsoft.com/office/drawing/2014/main" id="{643C454C-6EF7-F32D-9FA1-446DF1D32505}"/>
                </a:ext>
              </a:extLst>
            </xdr:cNvPr>
            <xdr:cNvSpPr/>
          </xdr:nvSpPr>
          <xdr:spPr>
            <a:xfrm>
              <a:off x="38101" y="1466850"/>
              <a:ext cx="2609849" cy="885825"/>
            </a:xfrm>
            <a:prstGeom prst="roundRect">
              <a:avLst/>
            </a:prstGeom>
            <a:solidFill>
              <a:schemeClr val="bg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67" name="Rectangle: Rounded Corners 66">
              <a:extLst>
                <a:ext uri="{FF2B5EF4-FFF2-40B4-BE49-F238E27FC236}">
                  <a16:creationId xmlns:a16="http://schemas.microsoft.com/office/drawing/2014/main" id="{767E555F-16FA-551F-E062-6C48BD60ADEC}"/>
                </a:ext>
              </a:extLst>
            </xdr:cNvPr>
            <xdr:cNvSpPr/>
          </xdr:nvSpPr>
          <xdr:spPr>
            <a:xfrm>
              <a:off x="104835" y="1562100"/>
              <a:ext cx="733424" cy="695325"/>
            </a:xfrm>
            <a:prstGeom prst="roundRect">
              <a:avLst/>
            </a:prstGeom>
            <a:solidFill>
              <a:schemeClr val="accent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sp macro="" textlink="">
        <xdr:nvSpPr>
          <xdr:cNvPr id="64" name="TextBox 63">
            <a:extLst>
              <a:ext uri="{FF2B5EF4-FFF2-40B4-BE49-F238E27FC236}">
                <a16:creationId xmlns:a16="http://schemas.microsoft.com/office/drawing/2014/main" id="{6B05C1F0-5DBF-C68F-4440-A12BEB6373CE}"/>
              </a:ext>
            </a:extLst>
          </xdr:cNvPr>
          <xdr:cNvSpPr txBox="1"/>
        </xdr:nvSpPr>
        <xdr:spPr>
          <a:xfrm>
            <a:off x="1325217" y="1739348"/>
            <a:ext cx="2415761" cy="345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u="none" cap="none" spc="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TOTAL</a:t>
            </a:r>
            <a:r>
              <a:rPr lang="en-US" sz="2000" b="0" u="none"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 QTY SOLD</a:t>
            </a:r>
          </a:p>
        </xdr:txBody>
      </xdr:sp>
      <xdr:sp macro="" textlink="'Sales data'!N14">
        <xdr:nvSpPr>
          <xdr:cNvPr id="65" name="TextBox 64">
            <a:extLst>
              <a:ext uri="{FF2B5EF4-FFF2-40B4-BE49-F238E27FC236}">
                <a16:creationId xmlns:a16="http://schemas.microsoft.com/office/drawing/2014/main" id="{304CABD9-9386-8FAD-5F13-E95B31B2E6FD}"/>
              </a:ext>
            </a:extLst>
          </xdr:cNvPr>
          <xdr:cNvSpPr txBox="1"/>
        </xdr:nvSpPr>
        <xdr:spPr>
          <a:xfrm>
            <a:off x="1766957" y="2043044"/>
            <a:ext cx="1546087"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9C20D4E-6AD1-4C23-BD87-82B8971E4182}" type="TxLink">
              <a:rPr lang="en-US" sz="2000" b="0" i="0" u="none" strike="noStrike">
                <a:solidFill>
                  <a:schemeClr val="accent1"/>
                </a:solidFill>
                <a:latin typeface="Calibri"/>
                <a:cs typeface="Calibri"/>
              </a:rPr>
              <a:pPr algn="ctr"/>
              <a:t> 3,109 </a:t>
            </a:fld>
            <a:endParaRPr lang="en-US" sz="7200">
              <a:solidFill>
                <a:schemeClr val="accent1"/>
              </a:solidFill>
            </a:endParaRPr>
          </a:p>
        </xdr:txBody>
      </xdr:sp>
    </xdr:grpSp>
    <xdr:clientData/>
  </xdr:twoCellAnchor>
  <xdr:twoCellAnchor>
    <xdr:from>
      <xdr:col>18</xdr:col>
      <xdr:colOff>576470</xdr:colOff>
      <xdr:row>7</xdr:row>
      <xdr:rowOff>133350</xdr:rowOff>
    </xdr:from>
    <xdr:to>
      <xdr:col>25</xdr:col>
      <xdr:colOff>110433</xdr:colOff>
      <xdr:row>13</xdr:row>
      <xdr:rowOff>82826</xdr:rowOff>
    </xdr:to>
    <xdr:grpSp>
      <xdr:nvGrpSpPr>
        <xdr:cNvPr id="68" name="Group 67">
          <a:extLst>
            <a:ext uri="{FF2B5EF4-FFF2-40B4-BE49-F238E27FC236}">
              <a16:creationId xmlns:a16="http://schemas.microsoft.com/office/drawing/2014/main" id="{5582D9DF-5666-CE1A-ED7A-9DCF1CAD8DFC}"/>
            </a:ext>
          </a:extLst>
        </xdr:cNvPr>
        <xdr:cNvGrpSpPr/>
      </xdr:nvGrpSpPr>
      <xdr:grpSpPr>
        <a:xfrm>
          <a:off x="11637760" y="1423834"/>
          <a:ext cx="3835576" cy="1055605"/>
          <a:chOff x="38100" y="1486176"/>
          <a:chExt cx="3785703" cy="1109041"/>
        </a:xfrm>
      </xdr:grpSpPr>
      <xdr:grpSp>
        <xdr:nvGrpSpPr>
          <xdr:cNvPr id="69" name="Group 68">
            <a:extLst>
              <a:ext uri="{FF2B5EF4-FFF2-40B4-BE49-F238E27FC236}">
                <a16:creationId xmlns:a16="http://schemas.microsoft.com/office/drawing/2014/main" id="{E6030D99-43E2-4EA1-5B84-63BEA8393325}"/>
              </a:ext>
            </a:extLst>
          </xdr:cNvPr>
          <xdr:cNvGrpSpPr/>
        </xdr:nvGrpSpPr>
        <xdr:grpSpPr>
          <a:xfrm>
            <a:off x="38100" y="1486176"/>
            <a:ext cx="3785703" cy="1109041"/>
            <a:chOff x="38101" y="1466850"/>
            <a:chExt cx="2609849" cy="885825"/>
          </a:xfrm>
        </xdr:grpSpPr>
        <xdr:sp macro="" textlink="">
          <xdr:nvSpPr>
            <xdr:cNvPr id="72" name="Rectangle: Rounded Corners 71">
              <a:extLst>
                <a:ext uri="{FF2B5EF4-FFF2-40B4-BE49-F238E27FC236}">
                  <a16:creationId xmlns:a16="http://schemas.microsoft.com/office/drawing/2014/main" id="{9C1385F5-4F2D-4239-A89E-AE7FB4A68E78}"/>
                </a:ext>
              </a:extLst>
            </xdr:cNvPr>
            <xdr:cNvSpPr/>
          </xdr:nvSpPr>
          <xdr:spPr>
            <a:xfrm>
              <a:off x="38101" y="1466850"/>
              <a:ext cx="2609849" cy="885825"/>
            </a:xfrm>
            <a:prstGeom prst="roundRect">
              <a:avLst/>
            </a:prstGeom>
            <a:solidFill>
              <a:schemeClr val="bg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73" name="Rectangle: Rounded Corners 72">
              <a:extLst>
                <a:ext uri="{FF2B5EF4-FFF2-40B4-BE49-F238E27FC236}">
                  <a16:creationId xmlns:a16="http://schemas.microsoft.com/office/drawing/2014/main" id="{EB9A29A1-5ADF-A736-EECE-B6A00029A869}"/>
                </a:ext>
              </a:extLst>
            </xdr:cNvPr>
            <xdr:cNvSpPr/>
          </xdr:nvSpPr>
          <xdr:spPr>
            <a:xfrm>
              <a:off x="104835" y="1562100"/>
              <a:ext cx="733424" cy="695325"/>
            </a:xfrm>
            <a:prstGeom prst="roundRect">
              <a:avLst/>
            </a:prstGeom>
            <a:solidFill>
              <a:schemeClr val="accent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sp macro="" textlink="">
        <xdr:nvSpPr>
          <xdr:cNvPr id="70" name="TextBox 69">
            <a:extLst>
              <a:ext uri="{FF2B5EF4-FFF2-40B4-BE49-F238E27FC236}">
                <a16:creationId xmlns:a16="http://schemas.microsoft.com/office/drawing/2014/main" id="{199AB37C-E19C-6C35-3344-2B2DA5426CED}"/>
              </a:ext>
            </a:extLst>
          </xdr:cNvPr>
          <xdr:cNvSpPr txBox="1"/>
        </xdr:nvSpPr>
        <xdr:spPr>
          <a:xfrm>
            <a:off x="1144060" y="1656522"/>
            <a:ext cx="2655846" cy="427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u="none"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AVG ORDER VALUE</a:t>
            </a:r>
          </a:p>
        </xdr:txBody>
      </xdr:sp>
      <xdr:sp macro="" textlink="'Sales data'!N17">
        <xdr:nvSpPr>
          <xdr:cNvPr id="71" name="TextBox 70">
            <a:extLst>
              <a:ext uri="{FF2B5EF4-FFF2-40B4-BE49-F238E27FC236}">
                <a16:creationId xmlns:a16="http://schemas.microsoft.com/office/drawing/2014/main" id="{1745C1F7-2BF2-EA61-A80F-F6972DD1D076}"/>
              </a:ext>
            </a:extLst>
          </xdr:cNvPr>
          <xdr:cNvSpPr txBox="1"/>
        </xdr:nvSpPr>
        <xdr:spPr>
          <a:xfrm>
            <a:off x="1766957" y="2043044"/>
            <a:ext cx="1546087"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861843-2055-408A-90BD-77B3786DF60A}" type="TxLink">
              <a:rPr lang="en-US" sz="2000" b="0" i="0" u="none" strike="noStrike">
                <a:solidFill>
                  <a:schemeClr val="accent1"/>
                </a:solidFill>
                <a:latin typeface="Calibri"/>
                <a:cs typeface="Calibri"/>
              </a:rPr>
              <a:pPr algn="ctr"/>
              <a:t> 297,587 </a:t>
            </a:fld>
            <a:endParaRPr lang="en-US" sz="7200">
              <a:solidFill>
                <a:schemeClr val="accent1"/>
              </a:solidFill>
            </a:endParaRPr>
          </a:p>
        </xdr:txBody>
      </xdr:sp>
    </xdr:grpSp>
    <xdr:clientData/>
  </xdr:twoCellAnchor>
  <xdr:twoCellAnchor>
    <xdr:from>
      <xdr:col>0</xdr:col>
      <xdr:colOff>51906</xdr:colOff>
      <xdr:row>13</xdr:row>
      <xdr:rowOff>174762</xdr:rowOff>
    </xdr:from>
    <xdr:to>
      <xdr:col>6</xdr:col>
      <xdr:colOff>193261</xdr:colOff>
      <xdr:row>19</xdr:row>
      <xdr:rowOff>124237</xdr:rowOff>
    </xdr:to>
    <xdr:grpSp>
      <xdr:nvGrpSpPr>
        <xdr:cNvPr id="74" name="Group 73">
          <a:extLst>
            <a:ext uri="{FF2B5EF4-FFF2-40B4-BE49-F238E27FC236}">
              <a16:creationId xmlns:a16="http://schemas.microsoft.com/office/drawing/2014/main" id="{4C090604-E818-18F7-A223-72A0119AD0B7}"/>
            </a:ext>
          </a:extLst>
        </xdr:cNvPr>
        <xdr:cNvGrpSpPr/>
      </xdr:nvGrpSpPr>
      <xdr:grpSpPr>
        <a:xfrm>
          <a:off x="51906" y="2571375"/>
          <a:ext cx="3828452" cy="1055604"/>
          <a:chOff x="38100" y="1486176"/>
          <a:chExt cx="3785703" cy="1109041"/>
        </a:xfrm>
      </xdr:grpSpPr>
      <xdr:grpSp>
        <xdr:nvGrpSpPr>
          <xdr:cNvPr id="75" name="Group 74">
            <a:extLst>
              <a:ext uri="{FF2B5EF4-FFF2-40B4-BE49-F238E27FC236}">
                <a16:creationId xmlns:a16="http://schemas.microsoft.com/office/drawing/2014/main" id="{FE1C8CE9-6843-E4BC-9E97-16FDD64707A5}"/>
              </a:ext>
            </a:extLst>
          </xdr:cNvPr>
          <xdr:cNvGrpSpPr/>
        </xdr:nvGrpSpPr>
        <xdr:grpSpPr>
          <a:xfrm>
            <a:off x="38100" y="1486176"/>
            <a:ext cx="3785703" cy="1109041"/>
            <a:chOff x="38101" y="1466850"/>
            <a:chExt cx="2609849" cy="885825"/>
          </a:xfrm>
        </xdr:grpSpPr>
        <xdr:sp macro="" textlink="">
          <xdr:nvSpPr>
            <xdr:cNvPr id="78" name="Rectangle: Rounded Corners 77">
              <a:extLst>
                <a:ext uri="{FF2B5EF4-FFF2-40B4-BE49-F238E27FC236}">
                  <a16:creationId xmlns:a16="http://schemas.microsoft.com/office/drawing/2014/main" id="{A9BDAA6A-DDAC-F322-AD6B-732A2E961B98}"/>
                </a:ext>
              </a:extLst>
            </xdr:cNvPr>
            <xdr:cNvSpPr/>
          </xdr:nvSpPr>
          <xdr:spPr>
            <a:xfrm>
              <a:off x="38101" y="1466850"/>
              <a:ext cx="2609849" cy="885825"/>
            </a:xfrm>
            <a:prstGeom prst="roundRect">
              <a:avLst/>
            </a:prstGeom>
            <a:solidFill>
              <a:schemeClr val="bg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79" name="Rectangle: Rounded Corners 78">
              <a:extLst>
                <a:ext uri="{FF2B5EF4-FFF2-40B4-BE49-F238E27FC236}">
                  <a16:creationId xmlns:a16="http://schemas.microsoft.com/office/drawing/2014/main" id="{AF0F0A04-3D2D-EE27-070E-7F13CC367810}"/>
                </a:ext>
              </a:extLst>
            </xdr:cNvPr>
            <xdr:cNvSpPr/>
          </xdr:nvSpPr>
          <xdr:spPr>
            <a:xfrm>
              <a:off x="104835" y="1562100"/>
              <a:ext cx="733424" cy="695325"/>
            </a:xfrm>
            <a:prstGeom prst="roundRect">
              <a:avLst/>
            </a:prstGeom>
            <a:solidFill>
              <a:schemeClr val="accent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sp macro="" textlink="">
        <xdr:nvSpPr>
          <xdr:cNvPr id="76" name="TextBox 75">
            <a:extLst>
              <a:ext uri="{FF2B5EF4-FFF2-40B4-BE49-F238E27FC236}">
                <a16:creationId xmlns:a16="http://schemas.microsoft.com/office/drawing/2014/main" id="{04B05257-0D06-1743-C8C1-293C895F83F4}"/>
              </a:ext>
            </a:extLst>
          </xdr:cNvPr>
          <xdr:cNvSpPr txBox="1"/>
        </xdr:nvSpPr>
        <xdr:spPr>
          <a:xfrm>
            <a:off x="1270000" y="1656522"/>
            <a:ext cx="2498588" cy="427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u="none"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PROFIT MARGIN %</a:t>
            </a:r>
          </a:p>
        </xdr:txBody>
      </xdr:sp>
      <xdr:sp macro="" textlink="'Sales data'!Q13">
        <xdr:nvSpPr>
          <xdr:cNvPr id="77" name="TextBox 76">
            <a:extLst>
              <a:ext uri="{FF2B5EF4-FFF2-40B4-BE49-F238E27FC236}">
                <a16:creationId xmlns:a16="http://schemas.microsoft.com/office/drawing/2014/main" id="{5172B626-7413-C073-5EDE-6B7508F303CB}"/>
              </a:ext>
            </a:extLst>
          </xdr:cNvPr>
          <xdr:cNvSpPr txBox="1"/>
        </xdr:nvSpPr>
        <xdr:spPr>
          <a:xfrm>
            <a:off x="1766957" y="2043044"/>
            <a:ext cx="1546087"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98CAD6-FA67-4FC9-BBB3-62E2DF622042}" type="TxLink">
              <a:rPr lang="en-US" sz="2000" b="0" i="0" u="none" strike="noStrike">
                <a:solidFill>
                  <a:schemeClr val="accent1"/>
                </a:solidFill>
                <a:latin typeface="Calibri"/>
                <a:cs typeface="Calibri"/>
              </a:rPr>
              <a:pPr algn="ctr"/>
              <a:t>24.13%</a:t>
            </a:fld>
            <a:endParaRPr lang="en-US" sz="7200">
              <a:solidFill>
                <a:schemeClr val="accent1"/>
              </a:solidFill>
            </a:endParaRPr>
          </a:p>
        </xdr:txBody>
      </xdr:sp>
    </xdr:grpSp>
    <xdr:clientData/>
  </xdr:twoCellAnchor>
  <xdr:twoCellAnchor>
    <xdr:from>
      <xdr:col>0</xdr:col>
      <xdr:colOff>51906</xdr:colOff>
      <xdr:row>19</xdr:row>
      <xdr:rowOff>188565</xdr:rowOff>
    </xdr:from>
    <xdr:to>
      <xdr:col>6</xdr:col>
      <xdr:colOff>193261</xdr:colOff>
      <xdr:row>25</xdr:row>
      <xdr:rowOff>138041</xdr:rowOff>
    </xdr:to>
    <xdr:grpSp>
      <xdr:nvGrpSpPr>
        <xdr:cNvPr id="80" name="Group 79">
          <a:extLst>
            <a:ext uri="{FF2B5EF4-FFF2-40B4-BE49-F238E27FC236}">
              <a16:creationId xmlns:a16="http://schemas.microsoft.com/office/drawing/2014/main" id="{F38CF298-4CEE-255B-ECD6-8B08DF385F08}"/>
            </a:ext>
          </a:extLst>
        </xdr:cNvPr>
        <xdr:cNvGrpSpPr/>
      </xdr:nvGrpSpPr>
      <xdr:grpSpPr>
        <a:xfrm>
          <a:off x="51906" y="3691307"/>
          <a:ext cx="3828452" cy="1055605"/>
          <a:chOff x="38100" y="1486176"/>
          <a:chExt cx="3785703" cy="1109041"/>
        </a:xfrm>
      </xdr:grpSpPr>
      <xdr:grpSp>
        <xdr:nvGrpSpPr>
          <xdr:cNvPr id="81" name="Group 80">
            <a:extLst>
              <a:ext uri="{FF2B5EF4-FFF2-40B4-BE49-F238E27FC236}">
                <a16:creationId xmlns:a16="http://schemas.microsoft.com/office/drawing/2014/main" id="{4B58642E-1352-6C11-894F-248C906333CE}"/>
              </a:ext>
            </a:extLst>
          </xdr:cNvPr>
          <xdr:cNvGrpSpPr/>
        </xdr:nvGrpSpPr>
        <xdr:grpSpPr>
          <a:xfrm>
            <a:off x="38100" y="1486176"/>
            <a:ext cx="3785703" cy="1109041"/>
            <a:chOff x="38101" y="1466850"/>
            <a:chExt cx="2609849" cy="885825"/>
          </a:xfrm>
        </xdr:grpSpPr>
        <xdr:sp macro="" textlink="">
          <xdr:nvSpPr>
            <xdr:cNvPr id="84" name="Rectangle: Rounded Corners 83">
              <a:extLst>
                <a:ext uri="{FF2B5EF4-FFF2-40B4-BE49-F238E27FC236}">
                  <a16:creationId xmlns:a16="http://schemas.microsoft.com/office/drawing/2014/main" id="{4DD6D245-AA10-A1F7-333C-47A517A49C99}"/>
                </a:ext>
              </a:extLst>
            </xdr:cNvPr>
            <xdr:cNvSpPr/>
          </xdr:nvSpPr>
          <xdr:spPr>
            <a:xfrm>
              <a:off x="38101" y="1466850"/>
              <a:ext cx="2609849" cy="885825"/>
            </a:xfrm>
            <a:prstGeom prst="roundRect">
              <a:avLst/>
            </a:prstGeom>
            <a:solidFill>
              <a:schemeClr val="bg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85" name="Rectangle: Rounded Corners 84">
              <a:extLst>
                <a:ext uri="{FF2B5EF4-FFF2-40B4-BE49-F238E27FC236}">
                  <a16:creationId xmlns:a16="http://schemas.microsoft.com/office/drawing/2014/main" id="{D8D3E75A-3229-CA8A-4EFF-EC6531190820}"/>
                </a:ext>
              </a:extLst>
            </xdr:cNvPr>
            <xdr:cNvSpPr/>
          </xdr:nvSpPr>
          <xdr:spPr>
            <a:xfrm>
              <a:off x="104835" y="1562100"/>
              <a:ext cx="733424" cy="695325"/>
            </a:xfrm>
            <a:prstGeom prst="roundRect">
              <a:avLst/>
            </a:prstGeom>
            <a:solidFill>
              <a:schemeClr val="accent1"/>
            </a:solidFill>
            <a:ln>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sp macro="" textlink="">
        <xdr:nvSpPr>
          <xdr:cNvPr id="82" name="TextBox 81">
            <a:extLst>
              <a:ext uri="{FF2B5EF4-FFF2-40B4-BE49-F238E27FC236}">
                <a16:creationId xmlns:a16="http://schemas.microsoft.com/office/drawing/2014/main" id="{FCBEC671-16E8-EBED-E10C-53BE071F3CB1}"/>
              </a:ext>
            </a:extLst>
          </xdr:cNvPr>
          <xdr:cNvSpPr txBox="1"/>
        </xdr:nvSpPr>
        <xdr:spPr>
          <a:xfrm>
            <a:off x="1270000" y="1656522"/>
            <a:ext cx="2498588" cy="427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b="0" u="none" cap="none" spc="0" baseline="0">
                <a:ln w="0"/>
                <a:solidFill>
                  <a:schemeClr val="accent1"/>
                </a:solidFill>
                <a:effectLst>
                  <a:outerShdw blurRad="38100" dist="25400" dir="5400000" algn="ctr" rotWithShape="0">
                    <a:srgbClr val="6E747A">
                      <a:alpha val="43000"/>
                    </a:srgbClr>
                  </a:outerShdw>
                </a:effectLst>
                <a:latin typeface="Times New Roman" panose="02020603050405020304" pitchFamily="18" charset="0"/>
                <a:cs typeface="Times New Roman" panose="02020603050405020304" pitchFamily="18" charset="0"/>
              </a:rPr>
              <a:t>NO. OF ORDER</a:t>
            </a:r>
          </a:p>
        </xdr:txBody>
      </xdr:sp>
      <xdr:sp macro="" textlink="'Sales data'!Q7">
        <xdr:nvSpPr>
          <xdr:cNvPr id="83" name="TextBox 82">
            <a:extLst>
              <a:ext uri="{FF2B5EF4-FFF2-40B4-BE49-F238E27FC236}">
                <a16:creationId xmlns:a16="http://schemas.microsoft.com/office/drawing/2014/main" id="{8B7A465F-60AB-A91E-93CF-8D4C4B7D28E5}"/>
              </a:ext>
            </a:extLst>
          </xdr:cNvPr>
          <xdr:cNvSpPr txBox="1"/>
        </xdr:nvSpPr>
        <xdr:spPr>
          <a:xfrm>
            <a:off x="1766957" y="2043044"/>
            <a:ext cx="1546087"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0DC7B04-DB46-438F-B834-EB6AB2D8D504}" type="TxLink">
              <a:rPr lang="en-US" sz="2000" b="0" i="0" u="none" strike="noStrike">
                <a:solidFill>
                  <a:schemeClr val="accent1"/>
                </a:solidFill>
                <a:latin typeface="Calibri"/>
                <a:cs typeface="Calibri"/>
              </a:rPr>
              <a:pPr algn="ctr"/>
              <a:t>300</a:t>
            </a:fld>
            <a:endParaRPr lang="en-US" sz="7200">
              <a:solidFill>
                <a:schemeClr val="accent1"/>
              </a:solidFill>
            </a:endParaRPr>
          </a:p>
        </xdr:txBody>
      </xdr:sp>
    </xdr:grpSp>
    <xdr:clientData/>
  </xdr:twoCellAnchor>
  <xdr:twoCellAnchor>
    <xdr:from>
      <xdr:col>6</xdr:col>
      <xdr:colOff>234674</xdr:colOff>
      <xdr:row>13</xdr:row>
      <xdr:rowOff>118582</xdr:rowOff>
    </xdr:from>
    <xdr:to>
      <xdr:col>25</xdr:col>
      <xdr:colOff>43296</xdr:colOff>
      <xdr:row>28</xdr:row>
      <xdr:rowOff>27609</xdr:rowOff>
    </xdr:to>
    <xdr:grpSp>
      <xdr:nvGrpSpPr>
        <xdr:cNvPr id="86" name="Group 85">
          <a:extLst>
            <a:ext uri="{FF2B5EF4-FFF2-40B4-BE49-F238E27FC236}">
              <a16:creationId xmlns:a16="http://schemas.microsoft.com/office/drawing/2014/main" id="{94FF780E-710A-FC63-699B-4A372858E619}"/>
            </a:ext>
          </a:extLst>
        </xdr:cNvPr>
        <xdr:cNvGrpSpPr/>
      </xdr:nvGrpSpPr>
      <xdr:grpSpPr>
        <a:xfrm>
          <a:off x="3921771" y="2515195"/>
          <a:ext cx="11484428" cy="2674349"/>
          <a:chOff x="2581275" y="8763001"/>
          <a:chExt cx="7410450" cy="3105150"/>
        </a:xfrm>
      </xdr:grpSpPr>
      <xdr:sp macro="" textlink="">
        <xdr:nvSpPr>
          <xdr:cNvPr id="87" name="Rectangle: Rounded Corners 86">
            <a:extLst>
              <a:ext uri="{FF2B5EF4-FFF2-40B4-BE49-F238E27FC236}">
                <a16:creationId xmlns:a16="http://schemas.microsoft.com/office/drawing/2014/main" id="{B5223948-8D82-1D31-DD60-096CA0F53EE0}"/>
              </a:ext>
            </a:extLst>
          </xdr:cNvPr>
          <xdr:cNvSpPr/>
        </xdr:nvSpPr>
        <xdr:spPr>
          <a:xfrm>
            <a:off x="2581275" y="8763001"/>
            <a:ext cx="7410450" cy="3105150"/>
          </a:xfrm>
          <a:prstGeom prst="roundRect">
            <a:avLst/>
          </a:prstGeom>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a:t>Profit vs Sales Comparision</a:t>
            </a:r>
          </a:p>
        </xdr:txBody>
      </xdr:sp>
      <xdr:graphicFrame macro="">
        <xdr:nvGraphicFramePr>
          <xdr:cNvPr id="88" name="Chart 87">
            <a:extLst>
              <a:ext uri="{FF2B5EF4-FFF2-40B4-BE49-F238E27FC236}">
                <a16:creationId xmlns:a16="http://schemas.microsoft.com/office/drawing/2014/main" id="{FF74143D-11E8-7551-5BA5-100DAC4E3418}"/>
              </a:ext>
            </a:extLst>
          </xdr:cNvPr>
          <xdr:cNvGraphicFramePr>
            <a:graphicFrameLocks/>
          </xdr:cNvGraphicFramePr>
        </xdr:nvGraphicFramePr>
        <xdr:xfrm>
          <a:off x="2838450" y="9115424"/>
          <a:ext cx="6972300" cy="266700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95.883337500003" createdVersion="8" refreshedVersion="8" minRefreshableVersion="3" recordCount="300" xr:uid="{B8A872D9-9BD4-4E9A-87C3-393B9A42CB49}">
  <cacheSource type="worksheet">
    <worksheetSource name="Table1"/>
  </cacheSource>
  <cacheFields count="13">
    <cacheField name="Order ID" numFmtId="0">
      <sharedItems containsSemiMixedTypes="0" containsString="0" containsNumber="1" containsInteger="1" minValue="2001" maxValue="2300"/>
    </cacheField>
    <cacheField name="Date" numFmtId="164">
      <sharedItems containsSemiMixedTypes="0" containsNonDate="0" containsDate="1" containsString="0" minDate="2024-01-01T00:00:00" maxDate="2024-10-27T00:00:00" count="3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sharedItems>
      <fieldGroup par="12"/>
    </cacheField>
    <cacheField name="Region" numFmtId="0">
      <sharedItems count="4">
        <s v="West"/>
        <s v="East"/>
        <s v="North"/>
        <s v="South"/>
      </sharedItems>
    </cacheField>
    <cacheField name="Product" numFmtId="0">
      <sharedItems count="9">
        <s v="Office Desk"/>
        <s v="Printer"/>
        <s v="Monitor"/>
        <s v="Office Chair"/>
        <s v="Keyboard"/>
        <s v="Mouse"/>
        <s v="Headphones"/>
        <s v="Laptop"/>
        <s v="Laptop Bag"/>
      </sharedItems>
    </cacheField>
    <cacheField name="Category" numFmtId="0">
      <sharedItems count="3">
        <s v="Furniture"/>
        <s v="Electronics"/>
        <s v="Accessories"/>
      </sharedItems>
    </cacheField>
    <cacheField name="Customer" numFmtId="0">
      <sharedItems/>
    </cacheField>
    <cacheField name="Qty" numFmtId="0">
      <sharedItems containsSemiMixedTypes="0" containsString="0" containsNumber="1" containsInteger="1" minValue="1" maxValue="19"/>
    </cacheField>
    <cacheField name="Unit Price" numFmtId="0">
      <sharedItems containsSemiMixedTypes="0" containsString="0" containsNumber="1" containsInteger="1" minValue="509" maxValue="59952"/>
    </cacheField>
    <cacheField name="COGS" numFmtId="0">
      <sharedItems containsSemiMixedTypes="0" containsString="0" containsNumber="1" containsInteger="1" minValue="447" maxValue="50440"/>
    </cacheField>
    <cacheField name="Sales" numFmtId="0">
      <sharedItems containsSemiMixedTypes="0" containsString="0" containsNumber="1" containsInteger="1" minValue="690" maxValue="1133749"/>
    </cacheField>
    <cacheField name="Profit" numFmtId="0">
      <sharedItems containsSemiMixedTypes="0" containsString="0" containsNumber="1" containsInteger="1" minValue="213" maxValue="403332"/>
    </cacheField>
    <cacheField name="PROFIT MARGIN %" numFmtId="10">
      <sharedItems containsSemiMixedTypes="0" containsString="0" containsNumber="1" minValue="0.10062407514636813" maxValue="0.39842411784857829"/>
    </cacheField>
    <cacheField name="Months (Date)" numFmtId="0" databaseField="0">
      <fieldGroup base="1">
        <rangePr groupBy="months" startDate="2024-01-01T00:00:00" endDate="2024-10-27T00:00:00"/>
        <groupItems count="14">
          <s v="&lt;1/1/2024"/>
          <s v="Jan"/>
          <s v="Feb"/>
          <s v="Mar"/>
          <s v="Apr"/>
          <s v="May"/>
          <s v="Jun"/>
          <s v="Jul"/>
          <s v="Aug"/>
          <s v="Sep"/>
          <s v="Oct"/>
          <s v="Nov"/>
          <s v="Dec"/>
          <s v="&gt;10/27/2024"/>
        </groupItems>
      </fieldGroup>
    </cacheField>
  </cacheFields>
  <extLst>
    <ext xmlns:x14="http://schemas.microsoft.com/office/spreadsheetml/2009/9/main" uri="{725AE2AE-9491-48be-B2B4-4EB974FC3084}">
      <x14:pivotCacheDefinition pivotCacheId="3219795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2001"/>
    <x v="0"/>
    <x v="0"/>
    <x v="0"/>
    <x v="0"/>
    <s v="E Store"/>
    <n v="11"/>
    <n v="16295"/>
    <n v="14424"/>
    <n v="179245"/>
    <n v="20581"/>
    <n v="0.11482049708499539"/>
  </r>
  <r>
    <n v="2002"/>
    <x v="1"/>
    <x v="1"/>
    <x v="1"/>
    <x v="1"/>
    <s v="E Store"/>
    <n v="11"/>
    <n v="55386"/>
    <n v="40639"/>
    <n v="609246"/>
    <n v="162217"/>
    <n v="0.26625862131224498"/>
  </r>
  <r>
    <n v="2003"/>
    <x v="2"/>
    <x v="0"/>
    <x v="2"/>
    <x v="1"/>
    <s v="D Outlet"/>
    <n v="2"/>
    <n v="16523"/>
    <n v="13140"/>
    <n v="33046"/>
    <n v="6766"/>
    <n v="0.20474490104702536"/>
  </r>
  <r>
    <n v="2004"/>
    <x v="3"/>
    <x v="0"/>
    <x v="3"/>
    <x v="0"/>
    <s v="B Mart"/>
    <n v="1"/>
    <n v="2933"/>
    <n v="1919"/>
    <n v="2933"/>
    <n v="1014"/>
    <n v="0.34572110467098532"/>
  </r>
  <r>
    <n v="2005"/>
    <x v="4"/>
    <x v="1"/>
    <x v="3"/>
    <x v="0"/>
    <s v="C Corp"/>
    <n v="17"/>
    <n v="6896"/>
    <n v="5031"/>
    <n v="117232"/>
    <n v="31705"/>
    <n v="0.27044663573085848"/>
  </r>
  <r>
    <n v="2006"/>
    <x v="5"/>
    <x v="2"/>
    <x v="4"/>
    <x v="1"/>
    <s v="C Corp"/>
    <n v="3"/>
    <n v="2399"/>
    <n v="1809"/>
    <n v="7197"/>
    <n v="1770"/>
    <n v="0.24593580658607753"/>
  </r>
  <r>
    <n v="2007"/>
    <x v="6"/>
    <x v="0"/>
    <x v="0"/>
    <x v="0"/>
    <s v="A Traders"/>
    <n v="18"/>
    <n v="31240"/>
    <n v="22966"/>
    <n v="562320"/>
    <n v="148932"/>
    <n v="0.26485275288092192"/>
  </r>
  <r>
    <n v="2008"/>
    <x v="7"/>
    <x v="0"/>
    <x v="5"/>
    <x v="1"/>
    <s v="D Outlet"/>
    <n v="2"/>
    <n v="43501"/>
    <n v="30075"/>
    <n v="87002"/>
    <n v="26852"/>
    <n v="0.30863658306705594"/>
  </r>
  <r>
    <n v="2009"/>
    <x v="8"/>
    <x v="1"/>
    <x v="0"/>
    <x v="0"/>
    <s v="A Traders"/>
    <n v="15"/>
    <n v="49055"/>
    <n v="36720"/>
    <n v="735825"/>
    <n v="185025"/>
    <n v="0.25145245133013966"/>
  </r>
  <r>
    <n v="2010"/>
    <x v="9"/>
    <x v="3"/>
    <x v="2"/>
    <x v="1"/>
    <s v="B Mart"/>
    <n v="2"/>
    <n v="2085"/>
    <n v="1665"/>
    <n v="4170"/>
    <n v="840"/>
    <n v="0.20143884892086331"/>
  </r>
  <r>
    <n v="2011"/>
    <x v="10"/>
    <x v="3"/>
    <x v="2"/>
    <x v="1"/>
    <s v="D Outlet"/>
    <n v="18"/>
    <n v="41257"/>
    <n v="25141"/>
    <n v="742626"/>
    <n v="290088"/>
    <n v="0.39062462127638947"/>
  </r>
  <r>
    <n v="2012"/>
    <x v="11"/>
    <x v="1"/>
    <x v="5"/>
    <x v="1"/>
    <s v="D Outlet"/>
    <n v="14"/>
    <n v="37565"/>
    <n v="32623"/>
    <n v="525910"/>
    <n v="69188"/>
    <n v="0.13155863170504459"/>
  </r>
  <r>
    <n v="2013"/>
    <x v="12"/>
    <x v="2"/>
    <x v="6"/>
    <x v="1"/>
    <s v="B Mart"/>
    <n v="16"/>
    <n v="24753"/>
    <n v="17267"/>
    <n v="396048"/>
    <n v="119776"/>
    <n v="0.30242798852664321"/>
  </r>
  <r>
    <n v="2014"/>
    <x v="13"/>
    <x v="2"/>
    <x v="1"/>
    <x v="1"/>
    <s v="E Store"/>
    <n v="13"/>
    <n v="21771"/>
    <n v="15392"/>
    <n v="283023"/>
    <n v="82927"/>
    <n v="0.29300445546828352"/>
  </r>
  <r>
    <n v="2015"/>
    <x v="14"/>
    <x v="0"/>
    <x v="7"/>
    <x v="1"/>
    <s v="C Corp"/>
    <n v="1"/>
    <n v="49484"/>
    <n v="44340"/>
    <n v="49484"/>
    <n v="5144"/>
    <n v="0.10395279282192224"/>
  </r>
  <r>
    <n v="2016"/>
    <x v="15"/>
    <x v="2"/>
    <x v="4"/>
    <x v="1"/>
    <s v="C Corp"/>
    <n v="3"/>
    <n v="40004"/>
    <n v="32539"/>
    <n v="120012"/>
    <n v="22395"/>
    <n v="0.18660633936606338"/>
  </r>
  <r>
    <n v="2017"/>
    <x v="16"/>
    <x v="0"/>
    <x v="1"/>
    <x v="1"/>
    <s v="A Traders"/>
    <n v="9"/>
    <n v="4061"/>
    <n v="2873"/>
    <n v="36549"/>
    <n v="10692"/>
    <n v="0.29253878355084956"/>
  </r>
  <r>
    <n v="2018"/>
    <x v="17"/>
    <x v="1"/>
    <x v="8"/>
    <x v="2"/>
    <s v="E Store"/>
    <n v="16"/>
    <n v="13567"/>
    <n v="9486"/>
    <n v="217072"/>
    <n v="65296"/>
    <n v="0.30080342006338912"/>
  </r>
  <r>
    <n v="2019"/>
    <x v="18"/>
    <x v="2"/>
    <x v="4"/>
    <x v="1"/>
    <s v="C Corp"/>
    <n v="3"/>
    <n v="19615"/>
    <n v="15520"/>
    <n v="58845"/>
    <n v="12285"/>
    <n v="0.20876879938822329"/>
  </r>
  <r>
    <n v="2020"/>
    <x v="19"/>
    <x v="2"/>
    <x v="1"/>
    <x v="1"/>
    <s v="B Mart"/>
    <n v="1"/>
    <n v="8610"/>
    <n v="7008"/>
    <n v="8610"/>
    <n v="1602"/>
    <n v="0.18606271777003483"/>
  </r>
  <r>
    <n v="2021"/>
    <x v="20"/>
    <x v="1"/>
    <x v="0"/>
    <x v="0"/>
    <s v="B Mart"/>
    <n v="9"/>
    <n v="7410"/>
    <n v="5015"/>
    <n v="66690"/>
    <n v="21555"/>
    <n v="0.32321187584345479"/>
  </r>
  <r>
    <n v="2022"/>
    <x v="21"/>
    <x v="0"/>
    <x v="4"/>
    <x v="1"/>
    <s v="E Store"/>
    <n v="17"/>
    <n v="49202"/>
    <n v="42743"/>
    <n v="836434"/>
    <n v="109803"/>
    <n v="0.13127515141660909"/>
  </r>
  <r>
    <n v="2023"/>
    <x v="22"/>
    <x v="2"/>
    <x v="2"/>
    <x v="1"/>
    <s v="C Corp"/>
    <n v="7"/>
    <n v="18641"/>
    <n v="11963"/>
    <n v="130487"/>
    <n v="46746"/>
    <n v="0.35824258355238453"/>
  </r>
  <r>
    <n v="2024"/>
    <x v="23"/>
    <x v="3"/>
    <x v="2"/>
    <x v="1"/>
    <s v="D Outlet"/>
    <n v="19"/>
    <n v="56320"/>
    <n v="35092"/>
    <n v="1070080"/>
    <n v="403332"/>
    <n v="0.37691761363636361"/>
  </r>
  <r>
    <n v="2025"/>
    <x v="24"/>
    <x v="0"/>
    <x v="5"/>
    <x v="1"/>
    <s v="D Outlet"/>
    <n v="6"/>
    <n v="44189"/>
    <n v="37226"/>
    <n v="265134"/>
    <n v="41778"/>
    <n v="0.15757315168933445"/>
  </r>
  <r>
    <n v="2026"/>
    <x v="25"/>
    <x v="3"/>
    <x v="2"/>
    <x v="1"/>
    <s v="A Traders"/>
    <n v="7"/>
    <n v="49425"/>
    <n v="42751"/>
    <n v="345975"/>
    <n v="46718"/>
    <n v="0.13503287809812847"/>
  </r>
  <r>
    <n v="2027"/>
    <x v="26"/>
    <x v="2"/>
    <x v="7"/>
    <x v="1"/>
    <s v="C Corp"/>
    <n v="13"/>
    <n v="1806"/>
    <n v="1315"/>
    <n v="23478"/>
    <n v="6383"/>
    <n v="0.2718715393133998"/>
  </r>
  <r>
    <n v="2028"/>
    <x v="27"/>
    <x v="3"/>
    <x v="0"/>
    <x v="0"/>
    <s v="E Store"/>
    <n v="9"/>
    <n v="58553"/>
    <n v="44103"/>
    <n v="526977"/>
    <n v="130050"/>
    <n v="0.24678496404966441"/>
  </r>
  <r>
    <n v="2029"/>
    <x v="28"/>
    <x v="1"/>
    <x v="7"/>
    <x v="1"/>
    <s v="A Traders"/>
    <n v="15"/>
    <n v="33062"/>
    <n v="22509"/>
    <n v="495930"/>
    <n v="158295"/>
    <n v="0.31918819188191883"/>
  </r>
  <r>
    <n v="2030"/>
    <x v="29"/>
    <x v="3"/>
    <x v="2"/>
    <x v="1"/>
    <s v="B Mart"/>
    <n v="12"/>
    <n v="54884"/>
    <n v="33998"/>
    <n v="658608"/>
    <n v="250632"/>
    <n v="0.38054806500983895"/>
  </r>
  <r>
    <n v="2031"/>
    <x v="30"/>
    <x v="1"/>
    <x v="4"/>
    <x v="1"/>
    <s v="A Traders"/>
    <n v="17"/>
    <n v="24164"/>
    <n v="15571"/>
    <n v="410788"/>
    <n v="146081"/>
    <n v="0.35561165369971859"/>
  </r>
  <r>
    <n v="2032"/>
    <x v="31"/>
    <x v="0"/>
    <x v="5"/>
    <x v="1"/>
    <s v="A Traders"/>
    <n v="5"/>
    <n v="38005"/>
    <n v="27489"/>
    <n v="190025"/>
    <n v="52580"/>
    <n v="0.27670043415340084"/>
  </r>
  <r>
    <n v="2033"/>
    <x v="32"/>
    <x v="3"/>
    <x v="7"/>
    <x v="1"/>
    <s v="D Outlet"/>
    <n v="12"/>
    <n v="47217"/>
    <n v="30382"/>
    <n v="566604"/>
    <n v="202020"/>
    <n v="0.35654531206980539"/>
  </r>
  <r>
    <n v="2034"/>
    <x v="33"/>
    <x v="1"/>
    <x v="0"/>
    <x v="0"/>
    <s v="E Store"/>
    <n v="17"/>
    <n v="33470"/>
    <n v="23793"/>
    <n v="568990"/>
    <n v="164509"/>
    <n v="0.28912458918434419"/>
  </r>
  <r>
    <n v="2035"/>
    <x v="34"/>
    <x v="1"/>
    <x v="2"/>
    <x v="1"/>
    <s v="A Traders"/>
    <n v="11"/>
    <n v="41045"/>
    <n v="32427"/>
    <n v="451495"/>
    <n v="94798"/>
    <n v="0.2099646729199659"/>
  </r>
  <r>
    <n v="2036"/>
    <x v="35"/>
    <x v="2"/>
    <x v="6"/>
    <x v="1"/>
    <s v="C Corp"/>
    <n v="16"/>
    <n v="42607"/>
    <n v="32060"/>
    <n v="681712"/>
    <n v="168752"/>
    <n v="0.2475414837937428"/>
  </r>
  <r>
    <n v="2037"/>
    <x v="36"/>
    <x v="3"/>
    <x v="2"/>
    <x v="1"/>
    <s v="C Corp"/>
    <n v="19"/>
    <n v="3311"/>
    <n v="2659"/>
    <n v="62909"/>
    <n v="12388"/>
    <n v="0.19691935971005739"/>
  </r>
  <r>
    <n v="2038"/>
    <x v="37"/>
    <x v="2"/>
    <x v="4"/>
    <x v="1"/>
    <s v="B Mart"/>
    <n v="9"/>
    <n v="11911"/>
    <n v="9451"/>
    <n v="107199"/>
    <n v="22140"/>
    <n v="0.20653177734866929"/>
  </r>
  <r>
    <n v="2039"/>
    <x v="38"/>
    <x v="1"/>
    <x v="8"/>
    <x v="2"/>
    <s v="B Mart"/>
    <n v="18"/>
    <n v="38004"/>
    <n v="30506"/>
    <n v="684072"/>
    <n v="134964"/>
    <n v="0.19729502157667614"/>
  </r>
  <r>
    <n v="2040"/>
    <x v="39"/>
    <x v="2"/>
    <x v="4"/>
    <x v="1"/>
    <s v="D Outlet"/>
    <n v="16"/>
    <n v="17146"/>
    <n v="13682"/>
    <n v="274336"/>
    <n v="55424"/>
    <n v="0.20202962790155138"/>
  </r>
  <r>
    <n v="2041"/>
    <x v="40"/>
    <x v="2"/>
    <x v="7"/>
    <x v="1"/>
    <s v="E Store"/>
    <n v="12"/>
    <n v="2549"/>
    <n v="2291"/>
    <n v="30588"/>
    <n v="3096"/>
    <n v="0.1012161632012554"/>
  </r>
  <r>
    <n v="2042"/>
    <x v="41"/>
    <x v="0"/>
    <x v="0"/>
    <x v="0"/>
    <s v="C Corp"/>
    <n v="19"/>
    <n v="43516"/>
    <n v="29750"/>
    <n v="826804"/>
    <n v="261554"/>
    <n v="0.31634341391672027"/>
  </r>
  <r>
    <n v="2043"/>
    <x v="42"/>
    <x v="0"/>
    <x v="2"/>
    <x v="1"/>
    <s v="D Outlet"/>
    <n v="1"/>
    <n v="6795"/>
    <n v="4901"/>
    <n v="6795"/>
    <n v="1894"/>
    <n v="0.27873436350257541"/>
  </r>
  <r>
    <n v="2044"/>
    <x v="43"/>
    <x v="0"/>
    <x v="7"/>
    <x v="1"/>
    <s v="C Corp"/>
    <n v="8"/>
    <n v="33211"/>
    <n v="27751"/>
    <n v="265688"/>
    <n v="43680"/>
    <n v="0.16440336033241998"/>
  </r>
  <r>
    <n v="2045"/>
    <x v="44"/>
    <x v="0"/>
    <x v="6"/>
    <x v="1"/>
    <s v="B Mart"/>
    <n v="18"/>
    <n v="16982"/>
    <n v="15149"/>
    <n v="305676"/>
    <n v="32994"/>
    <n v="0.10793781651160052"/>
  </r>
  <r>
    <n v="2046"/>
    <x v="45"/>
    <x v="0"/>
    <x v="5"/>
    <x v="1"/>
    <s v="A Traders"/>
    <n v="9"/>
    <n v="3369"/>
    <n v="2474"/>
    <n v="30321"/>
    <n v="8055"/>
    <n v="0.26565746512318195"/>
  </r>
  <r>
    <n v="2047"/>
    <x v="46"/>
    <x v="0"/>
    <x v="2"/>
    <x v="1"/>
    <s v="C Corp"/>
    <n v="16"/>
    <n v="23828"/>
    <n v="17827"/>
    <n v="381248"/>
    <n v="96016"/>
    <n v="0.25184656706395836"/>
  </r>
  <r>
    <n v="2048"/>
    <x v="47"/>
    <x v="1"/>
    <x v="7"/>
    <x v="1"/>
    <s v="C Corp"/>
    <n v="12"/>
    <n v="5235"/>
    <n v="4033"/>
    <n v="62820"/>
    <n v="14424"/>
    <n v="0.22960840496657114"/>
  </r>
  <r>
    <n v="2049"/>
    <x v="48"/>
    <x v="3"/>
    <x v="3"/>
    <x v="0"/>
    <s v="E Store"/>
    <n v="6"/>
    <n v="20330"/>
    <n v="13725"/>
    <n v="121980"/>
    <n v="39630"/>
    <n v="0.32488932611903593"/>
  </r>
  <r>
    <n v="2050"/>
    <x v="49"/>
    <x v="2"/>
    <x v="4"/>
    <x v="1"/>
    <s v="A Traders"/>
    <n v="2"/>
    <n v="11177"/>
    <n v="9744"/>
    <n v="22354"/>
    <n v="2866"/>
    <n v="0.1282097163818556"/>
  </r>
  <r>
    <n v="2051"/>
    <x v="50"/>
    <x v="1"/>
    <x v="7"/>
    <x v="1"/>
    <s v="D Outlet"/>
    <n v="16"/>
    <n v="29624"/>
    <n v="19820"/>
    <n v="473984"/>
    <n v="156864"/>
    <n v="0.33094788009721848"/>
  </r>
  <r>
    <n v="2052"/>
    <x v="51"/>
    <x v="0"/>
    <x v="4"/>
    <x v="1"/>
    <s v="E Store"/>
    <n v="12"/>
    <n v="44580"/>
    <n v="27331"/>
    <n v="534960"/>
    <n v="206988"/>
    <n v="0.38692238672050244"/>
  </r>
  <r>
    <n v="2053"/>
    <x v="52"/>
    <x v="2"/>
    <x v="1"/>
    <x v="1"/>
    <s v="E Store"/>
    <n v="9"/>
    <n v="44025"/>
    <n v="31303"/>
    <n v="396225"/>
    <n v="114498"/>
    <n v="0.28897217490062466"/>
  </r>
  <r>
    <n v="2054"/>
    <x v="53"/>
    <x v="0"/>
    <x v="7"/>
    <x v="1"/>
    <s v="A Traders"/>
    <n v="3"/>
    <n v="801"/>
    <n v="712"/>
    <n v="2403"/>
    <n v="267"/>
    <n v="0.1111111111111111"/>
  </r>
  <r>
    <n v="2055"/>
    <x v="54"/>
    <x v="0"/>
    <x v="2"/>
    <x v="1"/>
    <s v="C Corp"/>
    <n v="1"/>
    <n v="690"/>
    <n v="477"/>
    <n v="690"/>
    <n v="213"/>
    <n v="0.30869565217391304"/>
  </r>
  <r>
    <n v="2056"/>
    <x v="55"/>
    <x v="0"/>
    <x v="5"/>
    <x v="1"/>
    <s v="B Mart"/>
    <n v="3"/>
    <n v="35084"/>
    <n v="25204"/>
    <n v="105252"/>
    <n v="29640"/>
    <n v="0.28160985064416827"/>
  </r>
  <r>
    <n v="2057"/>
    <x v="56"/>
    <x v="3"/>
    <x v="3"/>
    <x v="0"/>
    <s v="B Mart"/>
    <n v="10"/>
    <n v="18570"/>
    <n v="11922"/>
    <n v="185700"/>
    <n v="66480"/>
    <n v="0.35799676898222943"/>
  </r>
  <r>
    <n v="2058"/>
    <x v="57"/>
    <x v="3"/>
    <x v="7"/>
    <x v="1"/>
    <s v="E Store"/>
    <n v="11"/>
    <n v="28251"/>
    <n v="22858"/>
    <n v="310761"/>
    <n v="59323"/>
    <n v="0.19089589749035432"/>
  </r>
  <r>
    <n v="2059"/>
    <x v="58"/>
    <x v="0"/>
    <x v="0"/>
    <x v="0"/>
    <s v="B Mart"/>
    <n v="13"/>
    <n v="50189"/>
    <n v="42311"/>
    <n v="652457"/>
    <n v="102414"/>
    <n v="0.1569666660025105"/>
  </r>
  <r>
    <n v="2060"/>
    <x v="59"/>
    <x v="0"/>
    <x v="0"/>
    <x v="0"/>
    <s v="D Outlet"/>
    <n v="1"/>
    <n v="24876"/>
    <n v="19611"/>
    <n v="24876"/>
    <n v="5265"/>
    <n v="0.21164978292329956"/>
  </r>
  <r>
    <n v="2061"/>
    <x v="60"/>
    <x v="3"/>
    <x v="4"/>
    <x v="1"/>
    <s v="C Corp"/>
    <n v="2"/>
    <n v="56266"/>
    <n v="34225"/>
    <n v="112532"/>
    <n v="44082"/>
    <n v="0.39172857498311592"/>
  </r>
  <r>
    <n v="2062"/>
    <x v="61"/>
    <x v="0"/>
    <x v="6"/>
    <x v="1"/>
    <s v="B Mart"/>
    <n v="17"/>
    <n v="53421"/>
    <n v="40749"/>
    <n v="908157"/>
    <n v="215424"/>
    <n v="0.23721008592126691"/>
  </r>
  <r>
    <n v="2063"/>
    <x v="62"/>
    <x v="2"/>
    <x v="3"/>
    <x v="0"/>
    <s v="E Store"/>
    <n v="5"/>
    <n v="53506"/>
    <n v="37885"/>
    <n v="267530"/>
    <n v="78105"/>
    <n v="0.29194856651590478"/>
  </r>
  <r>
    <n v="2064"/>
    <x v="63"/>
    <x v="0"/>
    <x v="1"/>
    <x v="1"/>
    <s v="D Outlet"/>
    <n v="13"/>
    <n v="22106"/>
    <n v="13829"/>
    <n v="287378"/>
    <n v="107601"/>
    <n v="0.37442323351126389"/>
  </r>
  <r>
    <n v="2065"/>
    <x v="64"/>
    <x v="2"/>
    <x v="4"/>
    <x v="1"/>
    <s v="B Mart"/>
    <n v="16"/>
    <n v="40234"/>
    <n v="25810"/>
    <n v="643744"/>
    <n v="230784"/>
    <n v="0.35850275886066513"/>
  </r>
  <r>
    <n v="2066"/>
    <x v="65"/>
    <x v="0"/>
    <x v="4"/>
    <x v="1"/>
    <s v="B Mart"/>
    <n v="19"/>
    <n v="21636"/>
    <n v="15570"/>
    <n v="411084"/>
    <n v="115254"/>
    <n v="0.28036605657237934"/>
  </r>
  <r>
    <n v="2067"/>
    <x v="66"/>
    <x v="0"/>
    <x v="0"/>
    <x v="0"/>
    <s v="E Store"/>
    <n v="9"/>
    <n v="26445"/>
    <n v="16068"/>
    <n v="238005"/>
    <n v="93393"/>
    <n v="0.39239931934203065"/>
  </r>
  <r>
    <n v="2068"/>
    <x v="67"/>
    <x v="3"/>
    <x v="7"/>
    <x v="1"/>
    <s v="A Traders"/>
    <n v="15"/>
    <n v="1581"/>
    <n v="1382"/>
    <n v="23715"/>
    <n v="2985"/>
    <n v="0.12586970271979758"/>
  </r>
  <r>
    <n v="2069"/>
    <x v="68"/>
    <x v="2"/>
    <x v="8"/>
    <x v="2"/>
    <s v="E Store"/>
    <n v="16"/>
    <n v="57056"/>
    <n v="39025"/>
    <n v="912896"/>
    <n v="288496"/>
    <n v="0.31602285473920361"/>
  </r>
  <r>
    <n v="2070"/>
    <x v="69"/>
    <x v="3"/>
    <x v="3"/>
    <x v="0"/>
    <s v="C Corp"/>
    <n v="12"/>
    <n v="56656"/>
    <n v="41125"/>
    <n v="679872"/>
    <n v="186372"/>
    <n v="0.27412807116633719"/>
  </r>
  <r>
    <n v="2071"/>
    <x v="70"/>
    <x v="0"/>
    <x v="1"/>
    <x v="1"/>
    <s v="E Store"/>
    <n v="14"/>
    <n v="7753"/>
    <n v="4685"/>
    <n v="108542"/>
    <n v="42952"/>
    <n v="0.39571778666322716"/>
  </r>
  <r>
    <n v="2072"/>
    <x v="71"/>
    <x v="0"/>
    <x v="7"/>
    <x v="1"/>
    <s v="B Mart"/>
    <n v="5"/>
    <n v="51793"/>
    <n v="44367"/>
    <n v="258965"/>
    <n v="37130"/>
    <n v="0.14337844882513082"/>
  </r>
  <r>
    <n v="2073"/>
    <x v="72"/>
    <x v="1"/>
    <x v="1"/>
    <x v="1"/>
    <s v="B Mart"/>
    <n v="5"/>
    <n v="29722"/>
    <n v="20921"/>
    <n v="148610"/>
    <n v="44005"/>
    <n v="0.29611062512616915"/>
  </r>
  <r>
    <n v="2074"/>
    <x v="73"/>
    <x v="3"/>
    <x v="3"/>
    <x v="0"/>
    <s v="C Corp"/>
    <n v="10"/>
    <n v="33080"/>
    <n v="28647"/>
    <n v="330800"/>
    <n v="44330"/>
    <n v="0.13400846432889962"/>
  </r>
  <r>
    <n v="2075"/>
    <x v="74"/>
    <x v="0"/>
    <x v="7"/>
    <x v="1"/>
    <s v="B Mart"/>
    <n v="4"/>
    <n v="42475"/>
    <n v="33878"/>
    <n v="169900"/>
    <n v="34388"/>
    <n v="0.20240141259564451"/>
  </r>
  <r>
    <n v="2076"/>
    <x v="75"/>
    <x v="3"/>
    <x v="7"/>
    <x v="1"/>
    <s v="C Corp"/>
    <n v="12"/>
    <n v="49615"/>
    <n v="38487"/>
    <n v="595380"/>
    <n v="133536"/>
    <n v="0.22428700997682152"/>
  </r>
  <r>
    <n v="2077"/>
    <x v="76"/>
    <x v="2"/>
    <x v="7"/>
    <x v="1"/>
    <s v="D Outlet"/>
    <n v="11"/>
    <n v="4500"/>
    <n v="3795"/>
    <n v="49500"/>
    <n v="7755"/>
    <n v="0.15666666666666668"/>
  </r>
  <r>
    <n v="2078"/>
    <x v="77"/>
    <x v="1"/>
    <x v="4"/>
    <x v="1"/>
    <s v="D Outlet"/>
    <n v="10"/>
    <n v="32820"/>
    <n v="29155"/>
    <n v="328200"/>
    <n v="36650"/>
    <n v="0.11166971358927483"/>
  </r>
  <r>
    <n v="2079"/>
    <x v="78"/>
    <x v="1"/>
    <x v="5"/>
    <x v="1"/>
    <s v="A Traders"/>
    <n v="3"/>
    <n v="32496"/>
    <n v="20418"/>
    <n v="97488"/>
    <n v="36234"/>
    <n v="0.3716765140324963"/>
  </r>
  <r>
    <n v="2080"/>
    <x v="79"/>
    <x v="1"/>
    <x v="8"/>
    <x v="2"/>
    <s v="A Traders"/>
    <n v="2"/>
    <n v="23632"/>
    <n v="20169"/>
    <n v="47264"/>
    <n v="6926"/>
    <n v="0.14653859174001355"/>
  </r>
  <r>
    <n v="2081"/>
    <x v="80"/>
    <x v="2"/>
    <x v="0"/>
    <x v="0"/>
    <s v="C Corp"/>
    <n v="18"/>
    <n v="3767"/>
    <n v="3043"/>
    <n v="67806"/>
    <n v="13032"/>
    <n v="0.19219538093973984"/>
  </r>
  <r>
    <n v="2082"/>
    <x v="81"/>
    <x v="3"/>
    <x v="8"/>
    <x v="2"/>
    <s v="E Store"/>
    <n v="4"/>
    <n v="40855"/>
    <n v="29635"/>
    <n v="163420"/>
    <n v="44880"/>
    <n v="0.27462978827560885"/>
  </r>
  <r>
    <n v="2083"/>
    <x v="82"/>
    <x v="1"/>
    <x v="6"/>
    <x v="1"/>
    <s v="D Outlet"/>
    <n v="17"/>
    <n v="36235"/>
    <n v="30511"/>
    <n v="615995"/>
    <n v="97308"/>
    <n v="0.15796881468193735"/>
  </r>
  <r>
    <n v="2084"/>
    <x v="83"/>
    <x v="0"/>
    <x v="5"/>
    <x v="1"/>
    <s v="A Traders"/>
    <n v="5"/>
    <n v="5604"/>
    <n v="4667"/>
    <n v="28020"/>
    <n v="4685"/>
    <n v="0.16720199857244825"/>
  </r>
  <r>
    <n v="2085"/>
    <x v="84"/>
    <x v="2"/>
    <x v="0"/>
    <x v="0"/>
    <s v="A Traders"/>
    <n v="3"/>
    <n v="6144"/>
    <n v="5050"/>
    <n v="18432"/>
    <n v="3282"/>
    <n v="0.17805989583333334"/>
  </r>
  <r>
    <n v="2086"/>
    <x v="85"/>
    <x v="1"/>
    <x v="7"/>
    <x v="1"/>
    <s v="C Corp"/>
    <n v="13"/>
    <n v="14897"/>
    <n v="11157"/>
    <n v="193661"/>
    <n v="48620"/>
    <n v="0.25105725985097671"/>
  </r>
  <r>
    <n v="2087"/>
    <x v="86"/>
    <x v="1"/>
    <x v="7"/>
    <x v="1"/>
    <s v="D Outlet"/>
    <n v="9"/>
    <n v="14423"/>
    <n v="8700"/>
    <n v="129807"/>
    <n v="51507"/>
    <n v="0.39679678291617554"/>
  </r>
  <r>
    <n v="2088"/>
    <x v="87"/>
    <x v="3"/>
    <x v="6"/>
    <x v="1"/>
    <s v="E Store"/>
    <n v="19"/>
    <n v="35770"/>
    <n v="31729"/>
    <n v="679630"/>
    <n v="76779"/>
    <n v="0.11297176404808498"/>
  </r>
  <r>
    <n v="2089"/>
    <x v="88"/>
    <x v="2"/>
    <x v="1"/>
    <x v="1"/>
    <s v="A Traders"/>
    <n v="4"/>
    <n v="56918"/>
    <n v="44437"/>
    <n v="227672"/>
    <n v="49924"/>
    <n v="0.21928036824906005"/>
  </r>
  <r>
    <n v="2090"/>
    <x v="89"/>
    <x v="3"/>
    <x v="0"/>
    <x v="0"/>
    <s v="B Mart"/>
    <n v="7"/>
    <n v="19040"/>
    <n v="16741"/>
    <n v="133280"/>
    <n v="16093"/>
    <n v="0.12074579831932773"/>
  </r>
  <r>
    <n v="2091"/>
    <x v="90"/>
    <x v="1"/>
    <x v="1"/>
    <x v="1"/>
    <s v="B Mart"/>
    <n v="11"/>
    <n v="24214"/>
    <n v="20976"/>
    <n v="266354"/>
    <n v="35618"/>
    <n v="0.13372429173205583"/>
  </r>
  <r>
    <n v="2092"/>
    <x v="91"/>
    <x v="2"/>
    <x v="6"/>
    <x v="1"/>
    <s v="E Store"/>
    <n v="17"/>
    <n v="24125"/>
    <n v="20532"/>
    <n v="410125"/>
    <n v="61081"/>
    <n v="0.14893264248704663"/>
  </r>
  <r>
    <n v="2093"/>
    <x v="92"/>
    <x v="2"/>
    <x v="8"/>
    <x v="2"/>
    <s v="E Store"/>
    <n v="2"/>
    <n v="39581"/>
    <n v="28458"/>
    <n v="79162"/>
    <n v="22246"/>
    <n v="0.28101867057426544"/>
  </r>
  <r>
    <n v="2094"/>
    <x v="93"/>
    <x v="2"/>
    <x v="1"/>
    <x v="1"/>
    <s v="A Traders"/>
    <n v="16"/>
    <n v="55193"/>
    <n v="49452"/>
    <n v="883088"/>
    <n v="91856"/>
    <n v="0.10401681372637835"/>
  </r>
  <r>
    <n v="2095"/>
    <x v="94"/>
    <x v="2"/>
    <x v="3"/>
    <x v="0"/>
    <s v="E Store"/>
    <n v="7"/>
    <n v="41959"/>
    <n v="28154"/>
    <n v="293713"/>
    <n v="96635"/>
    <n v="0.329011654233895"/>
  </r>
  <r>
    <n v="2096"/>
    <x v="95"/>
    <x v="2"/>
    <x v="2"/>
    <x v="1"/>
    <s v="D Outlet"/>
    <n v="19"/>
    <n v="59671"/>
    <n v="42538"/>
    <n v="1133749"/>
    <n v="325527"/>
    <n v="0.28712439878668028"/>
  </r>
  <r>
    <n v="2097"/>
    <x v="96"/>
    <x v="1"/>
    <x v="3"/>
    <x v="0"/>
    <s v="C Corp"/>
    <n v="19"/>
    <n v="27290"/>
    <n v="19847"/>
    <n v="518510"/>
    <n v="141417"/>
    <n v="0.27273726639794799"/>
  </r>
  <r>
    <n v="2098"/>
    <x v="97"/>
    <x v="2"/>
    <x v="5"/>
    <x v="1"/>
    <s v="A Traders"/>
    <n v="8"/>
    <n v="9935"/>
    <n v="7664"/>
    <n v="79480"/>
    <n v="18168"/>
    <n v="0.22858580775037746"/>
  </r>
  <r>
    <n v="2099"/>
    <x v="98"/>
    <x v="2"/>
    <x v="0"/>
    <x v="0"/>
    <s v="A Traders"/>
    <n v="17"/>
    <n v="52724"/>
    <n v="42406"/>
    <n v="896308"/>
    <n v="175406"/>
    <n v="0.19569835369091876"/>
  </r>
  <r>
    <n v="2100"/>
    <x v="99"/>
    <x v="2"/>
    <x v="3"/>
    <x v="0"/>
    <s v="E Store"/>
    <n v="12"/>
    <n v="46696"/>
    <n v="41511"/>
    <n v="560352"/>
    <n v="62220"/>
    <n v="0.11103734795271544"/>
  </r>
  <r>
    <n v="2101"/>
    <x v="100"/>
    <x v="0"/>
    <x v="1"/>
    <x v="1"/>
    <s v="E Store"/>
    <n v="11"/>
    <n v="21059"/>
    <n v="15969"/>
    <n v="231649"/>
    <n v="55990"/>
    <n v="0.24170188517973312"/>
  </r>
  <r>
    <n v="2102"/>
    <x v="101"/>
    <x v="1"/>
    <x v="2"/>
    <x v="1"/>
    <s v="A Traders"/>
    <n v="18"/>
    <n v="26326"/>
    <n v="21287"/>
    <n v="473868"/>
    <n v="90702"/>
    <n v="0.19140773379928588"/>
  </r>
  <r>
    <n v="2103"/>
    <x v="102"/>
    <x v="2"/>
    <x v="7"/>
    <x v="1"/>
    <s v="C Corp"/>
    <n v="1"/>
    <n v="38913"/>
    <n v="26785"/>
    <n v="38913"/>
    <n v="12128"/>
    <n v="0.31166962197723125"/>
  </r>
  <r>
    <n v="2104"/>
    <x v="103"/>
    <x v="0"/>
    <x v="0"/>
    <x v="0"/>
    <s v="D Outlet"/>
    <n v="10"/>
    <n v="25004"/>
    <n v="21867"/>
    <n v="250040"/>
    <n v="31370"/>
    <n v="0.12545992641177411"/>
  </r>
  <r>
    <n v="2105"/>
    <x v="104"/>
    <x v="3"/>
    <x v="8"/>
    <x v="2"/>
    <s v="B Mart"/>
    <n v="4"/>
    <n v="1167"/>
    <n v="817"/>
    <n v="4668"/>
    <n v="1400"/>
    <n v="0.29991431019708653"/>
  </r>
  <r>
    <n v="2106"/>
    <x v="105"/>
    <x v="0"/>
    <x v="5"/>
    <x v="1"/>
    <s v="C Corp"/>
    <n v="9"/>
    <n v="33807"/>
    <n v="21072"/>
    <n v="304263"/>
    <n v="114615"/>
    <n v="0.37669713372970093"/>
  </r>
  <r>
    <n v="2107"/>
    <x v="106"/>
    <x v="2"/>
    <x v="3"/>
    <x v="0"/>
    <s v="D Outlet"/>
    <n v="1"/>
    <n v="56754"/>
    <n v="43180"/>
    <n v="56754"/>
    <n v="13574"/>
    <n v="0.23917256933432005"/>
  </r>
  <r>
    <n v="2108"/>
    <x v="107"/>
    <x v="0"/>
    <x v="4"/>
    <x v="1"/>
    <s v="E Store"/>
    <n v="19"/>
    <n v="52976"/>
    <n v="46733"/>
    <n v="1006544"/>
    <n v="118617"/>
    <n v="0.11784581697372395"/>
  </r>
  <r>
    <n v="2109"/>
    <x v="108"/>
    <x v="1"/>
    <x v="6"/>
    <x v="1"/>
    <s v="E Store"/>
    <n v="18"/>
    <n v="509"/>
    <n v="447"/>
    <n v="9162"/>
    <n v="1116"/>
    <n v="0.12180746561886051"/>
  </r>
  <r>
    <n v="2110"/>
    <x v="109"/>
    <x v="3"/>
    <x v="1"/>
    <x v="1"/>
    <s v="A Traders"/>
    <n v="1"/>
    <n v="1515"/>
    <n v="1080"/>
    <n v="1515"/>
    <n v="435"/>
    <n v="0.28712871287128711"/>
  </r>
  <r>
    <n v="2111"/>
    <x v="110"/>
    <x v="2"/>
    <x v="1"/>
    <x v="1"/>
    <s v="A Traders"/>
    <n v="17"/>
    <n v="24333"/>
    <n v="17380"/>
    <n v="413661"/>
    <n v="118201"/>
    <n v="0.28574364032384003"/>
  </r>
  <r>
    <n v="2112"/>
    <x v="111"/>
    <x v="2"/>
    <x v="5"/>
    <x v="1"/>
    <s v="D Outlet"/>
    <n v="1"/>
    <n v="10844"/>
    <n v="7855"/>
    <n v="10844"/>
    <n v="2989"/>
    <n v="0.27563629656953154"/>
  </r>
  <r>
    <n v="2113"/>
    <x v="112"/>
    <x v="2"/>
    <x v="7"/>
    <x v="1"/>
    <s v="E Store"/>
    <n v="3"/>
    <n v="33106"/>
    <n v="27311"/>
    <n v="99318"/>
    <n v="17385"/>
    <n v="0.17504379870718298"/>
  </r>
  <r>
    <n v="2114"/>
    <x v="113"/>
    <x v="2"/>
    <x v="1"/>
    <x v="1"/>
    <s v="E Store"/>
    <n v="19"/>
    <n v="11416"/>
    <n v="9442"/>
    <n v="216904"/>
    <n v="37506"/>
    <n v="0.17291520672740013"/>
  </r>
  <r>
    <n v="2115"/>
    <x v="114"/>
    <x v="2"/>
    <x v="6"/>
    <x v="1"/>
    <s v="D Outlet"/>
    <n v="13"/>
    <n v="39265"/>
    <n v="26520"/>
    <n v="510445"/>
    <n v="165685"/>
    <n v="0.32458932891888448"/>
  </r>
  <r>
    <n v="2116"/>
    <x v="115"/>
    <x v="0"/>
    <x v="7"/>
    <x v="1"/>
    <s v="B Mart"/>
    <n v="2"/>
    <n v="38244"/>
    <n v="31631"/>
    <n v="76488"/>
    <n v="13226"/>
    <n v="0.17291601296935466"/>
  </r>
  <r>
    <n v="2117"/>
    <x v="116"/>
    <x v="0"/>
    <x v="5"/>
    <x v="1"/>
    <s v="A Traders"/>
    <n v="18"/>
    <n v="43625"/>
    <n v="37055"/>
    <n v="785250"/>
    <n v="118260"/>
    <n v="0.15060171919770773"/>
  </r>
  <r>
    <n v="2118"/>
    <x v="117"/>
    <x v="0"/>
    <x v="3"/>
    <x v="0"/>
    <s v="E Store"/>
    <n v="17"/>
    <n v="8927"/>
    <n v="6858"/>
    <n v="151759"/>
    <n v="35173"/>
    <n v="0.23176879130727007"/>
  </r>
  <r>
    <n v="2119"/>
    <x v="118"/>
    <x v="1"/>
    <x v="1"/>
    <x v="1"/>
    <s v="D Outlet"/>
    <n v="19"/>
    <n v="12673"/>
    <n v="10280"/>
    <n v="240787"/>
    <n v="45467"/>
    <n v="0.18882663931192298"/>
  </r>
  <r>
    <n v="2120"/>
    <x v="119"/>
    <x v="3"/>
    <x v="5"/>
    <x v="1"/>
    <s v="C Corp"/>
    <n v="18"/>
    <n v="7449"/>
    <n v="5828"/>
    <n v="134082"/>
    <n v="29178"/>
    <n v="0.21761310242985635"/>
  </r>
  <r>
    <n v="2121"/>
    <x v="120"/>
    <x v="2"/>
    <x v="4"/>
    <x v="1"/>
    <s v="D Outlet"/>
    <n v="6"/>
    <n v="10709"/>
    <n v="7544"/>
    <n v="64254"/>
    <n v="18990"/>
    <n v="0.29554580259594732"/>
  </r>
  <r>
    <n v="2122"/>
    <x v="121"/>
    <x v="2"/>
    <x v="0"/>
    <x v="0"/>
    <s v="D Outlet"/>
    <n v="5"/>
    <n v="52829"/>
    <n v="45364"/>
    <n v="264145"/>
    <n v="37325"/>
    <n v="0.14130496507599993"/>
  </r>
  <r>
    <n v="2123"/>
    <x v="122"/>
    <x v="3"/>
    <x v="8"/>
    <x v="2"/>
    <s v="E Store"/>
    <n v="5"/>
    <n v="20356"/>
    <n v="15218"/>
    <n v="101780"/>
    <n v="25690"/>
    <n v="0.25240715268225583"/>
  </r>
  <r>
    <n v="2124"/>
    <x v="123"/>
    <x v="0"/>
    <x v="5"/>
    <x v="1"/>
    <s v="C Corp"/>
    <n v="11"/>
    <n v="4800"/>
    <n v="3181"/>
    <n v="52800"/>
    <n v="17809"/>
    <n v="0.33729166666666666"/>
  </r>
  <r>
    <n v="2125"/>
    <x v="124"/>
    <x v="1"/>
    <x v="4"/>
    <x v="1"/>
    <s v="C Corp"/>
    <n v="16"/>
    <n v="6754"/>
    <n v="4313"/>
    <n v="108064"/>
    <n v="39056"/>
    <n v="0.36141545750666271"/>
  </r>
  <r>
    <n v="2126"/>
    <x v="125"/>
    <x v="0"/>
    <x v="3"/>
    <x v="0"/>
    <s v="A Traders"/>
    <n v="8"/>
    <n v="22915"/>
    <n v="18154"/>
    <n v="183320"/>
    <n v="38088"/>
    <n v="0.2077678376609208"/>
  </r>
  <r>
    <n v="2127"/>
    <x v="126"/>
    <x v="2"/>
    <x v="4"/>
    <x v="1"/>
    <s v="B Mart"/>
    <n v="18"/>
    <n v="18771"/>
    <n v="13931"/>
    <n v="337878"/>
    <n v="87120"/>
    <n v="0.2578445474402003"/>
  </r>
  <r>
    <n v="2128"/>
    <x v="127"/>
    <x v="0"/>
    <x v="4"/>
    <x v="1"/>
    <s v="B Mart"/>
    <n v="18"/>
    <n v="24454"/>
    <n v="20701"/>
    <n v="440172"/>
    <n v="67554"/>
    <n v="0.15347182465036394"/>
  </r>
  <r>
    <n v="2129"/>
    <x v="128"/>
    <x v="2"/>
    <x v="3"/>
    <x v="0"/>
    <s v="D Outlet"/>
    <n v="5"/>
    <n v="14216"/>
    <n v="10869"/>
    <n v="71080"/>
    <n v="16735"/>
    <n v="0.23543894203714125"/>
  </r>
  <r>
    <n v="2130"/>
    <x v="129"/>
    <x v="1"/>
    <x v="5"/>
    <x v="1"/>
    <s v="A Traders"/>
    <n v="13"/>
    <n v="43428"/>
    <n v="32615"/>
    <n v="564564"/>
    <n v="140569"/>
    <n v="0.24898682877406281"/>
  </r>
  <r>
    <n v="2131"/>
    <x v="130"/>
    <x v="0"/>
    <x v="6"/>
    <x v="1"/>
    <s v="C Corp"/>
    <n v="15"/>
    <n v="23074"/>
    <n v="18190"/>
    <n v="346110"/>
    <n v="73260"/>
    <n v="0.21166681112940972"/>
  </r>
  <r>
    <n v="2132"/>
    <x v="131"/>
    <x v="2"/>
    <x v="7"/>
    <x v="1"/>
    <s v="C Corp"/>
    <n v="8"/>
    <n v="30221"/>
    <n v="26004"/>
    <n v="241768"/>
    <n v="33736"/>
    <n v="0.13953873134575295"/>
  </r>
  <r>
    <n v="2133"/>
    <x v="132"/>
    <x v="3"/>
    <x v="2"/>
    <x v="1"/>
    <s v="D Outlet"/>
    <n v="14"/>
    <n v="802"/>
    <n v="570"/>
    <n v="11228"/>
    <n v="3248"/>
    <n v="0.2892768079800499"/>
  </r>
  <r>
    <n v="2134"/>
    <x v="133"/>
    <x v="3"/>
    <x v="0"/>
    <x v="0"/>
    <s v="C Corp"/>
    <n v="13"/>
    <n v="2625"/>
    <n v="1939"/>
    <n v="34125"/>
    <n v="8918"/>
    <n v="0.26133333333333331"/>
  </r>
  <r>
    <n v="2135"/>
    <x v="134"/>
    <x v="1"/>
    <x v="8"/>
    <x v="2"/>
    <s v="D Outlet"/>
    <n v="14"/>
    <n v="5626"/>
    <n v="4535"/>
    <n v="78764"/>
    <n v="15274"/>
    <n v="0.19392108069676503"/>
  </r>
  <r>
    <n v="2136"/>
    <x v="135"/>
    <x v="1"/>
    <x v="5"/>
    <x v="1"/>
    <s v="A Traders"/>
    <n v="19"/>
    <n v="40941"/>
    <n v="28914"/>
    <n v="777879"/>
    <n v="228513"/>
    <n v="0.29376419725947095"/>
  </r>
  <r>
    <n v="2137"/>
    <x v="136"/>
    <x v="2"/>
    <x v="0"/>
    <x v="0"/>
    <s v="A Traders"/>
    <n v="7"/>
    <n v="46040"/>
    <n v="30141"/>
    <n v="322280"/>
    <n v="111293"/>
    <n v="0.34533014769765419"/>
  </r>
  <r>
    <n v="2138"/>
    <x v="137"/>
    <x v="2"/>
    <x v="0"/>
    <x v="0"/>
    <s v="A Traders"/>
    <n v="12"/>
    <n v="6729"/>
    <n v="4698"/>
    <n v="80748"/>
    <n v="24372"/>
    <n v="0.30182790905037898"/>
  </r>
  <r>
    <n v="2139"/>
    <x v="138"/>
    <x v="2"/>
    <x v="2"/>
    <x v="1"/>
    <s v="E Store"/>
    <n v="3"/>
    <n v="6668"/>
    <n v="5359"/>
    <n v="20004"/>
    <n v="3927"/>
    <n v="0.1963107378524295"/>
  </r>
  <r>
    <n v="2140"/>
    <x v="139"/>
    <x v="1"/>
    <x v="5"/>
    <x v="1"/>
    <s v="A Traders"/>
    <n v="2"/>
    <n v="27234"/>
    <n v="21113"/>
    <n v="54468"/>
    <n v="12242"/>
    <n v="0.22475581993096863"/>
  </r>
  <r>
    <n v="2141"/>
    <x v="140"/>
    <x v="0"/>
    <x v="4"/>
    <x v="1"/>
    <s v="B Mart"/>
    <n v="6"/>
    <n v="16413"/>
    <n v="11245"/>
    <n v="98478"/>
    <n v="31008"/>
    <n v="0.31487235727776763"/>
  </r>
  <r>
    <n v="2142"/>
    <x v="141"/>
    <x v="2"/>
    <x v="5"/>
    <x v="1"/>
    <s v="A Traders"/>
    <n v="6"/>
    <n v="10667"/>
    <n v="7994"/>
    <n v="64002"/>
    <n v="16038"/>
    <n v="0.25058591919002532"/>
  </r>
  <r>
    <n v="2143"/>
    <x v="142"/>
    <x v="3"/>
    <x v="7"/>
    <x v="1"/>
    <s v="D Outlet"/>
    <n v="6"/>
    <n v="51112"/>
    <n v="32227"/>
    <n v="306672"/>
    <n v="113310"/>
    <n v="0.36948270464861482"/>
  </r>
  <r>
    <n v="2144"/>
    <x v="143"/>
    <x v="1"/>
    <x v="8"/>
    <x v="2"/>
    <s v="E Store"/>
    <n v="3"/>
    <n v="27946"/>
    <n v="23829"/>
    <n v="83838"/>
    <n v="12351"/>
    <n v="0.14731983110284119"/>
  </r>
  <r>
    <n v="2145"/>
    <x v="144"/>
    <x v="0"/>
    <x v="2"/>
    <x v="1"/>
    <s v="D Outlet"/>
    <n v="2"/>
    <n v="9611"/>
    <n v="6089"/>
    <n v="19222"/>
    <n v="7044"/>
    <n v="0.36645510352720839"/>
  </r>
  <r>
    <n v="2146"/>
    <x v="145"/>
    <x v="3"/>
    <x v="2"/>
    <x v="1"/>
    <s v="C Corp"/>
    <n v="17"/>
    <n v="22850"/>
    <n v="19311"/>
    <n v="388450"/>
    <n v="60163"/>
    <n v="0.1548796498905908"/>
  </r>
  <r>
    <n v="2147"/>
    <x v="146"/>
    <x v="3"/>
    <x v="6"/>
    <x v="1"/>
    <s v="C Corp"/>
    <n v="8"/>
    <n v="53941"/>
    <n v="41374"/>
    <n v="431528"/>
    <n v="100536"/>
    <n v="0.23297677091637159"/>
  </r>
  <r>
    <n v="2148"/>
    <x v="147"/>
    <x v="1"/>
    <x v="1"/>
    <x v="1"/>
    <s v="D Outlet"/>
    <n v="4"/>
    <n v="6969"/>
    <n v="6205"/>
    <n v="27876"/>
    <n v="3056"/>
    <n v="0.1096283541397618"/>
  </r>
  <r>
    <n v="2149"/>
    <x v="148"/>
    <x v="2"/>
    <x v="7"/>
    <x v="1"/>
    <s v="B Mart"/>
    <n v="15"/>
    <n v="46087"/>
    <n v="31003"/>
    <n v="691305"/>
    <n v="226260"/>
    <n v="0.32729403085468789"/>
  </r>
  <r>
    <n v="2150"/>
    <x v="149"/>
    <x v="2"/>
    <x v="3"/>
    <x v="0"/>
    <s v="C Corp"/>
    <n v="4"/>
    <n v="2328"/>
    <n v="1750"/>
    <n v="9312"/>
    <n v="2312"/>
    <n v="0.24828178694158076"/>
  </r>
  <r>
    <n v="2151"/>
    <x v="150"/>
    <x v="2"/>
    <x v="4"/>
    <x v="1"/>
    <s v="B Mart"/>
    <n v="10"/>
    <n v="20628"/>
    <n v="14661"/>
    <n v="206280"/>
    <n v="59670"/>
    <n v="0.2892670157068063"/>
  </r>
  <r>
    <n v="2152"/>
    <x v="151"/>
    <x v="1"/>
    <x v="5"/>
    <x v="1"/>
    <s v="E Store"/>
    <n v="1"/>
    <n v="51712"/>
    <n v="41647"/>
    <n v="51712"/>
    <n v="10065"/>
    <n v="0.19463567450495051"/>
  </r>
  <r>
    <n v="2153"/>
    <x v="152"/>
    <x v="0"/>
    <x v="6"/>
    <x v="1"/>
    <s v="C Corp"/>
    <n v="15"/>
    <n v="19716"/>
    <n v="12519"/>
    <n v="295740"/>
    <n v="107955"/>
    <n v="0.36503347534996955"/>
  </r>
  <r>
    <n v="2154"/>
    <x v="153"/>
    <x v="3"/>
    <x v="7"/>
    <x v="1"/>
    <s v="E Store"/>
    <n v="12"/>
    <n v="18488"/>
    <n v="15699"/>
    <n v="221856"/>
    <n v="33468"/>
    <n v="0.15085460839463435"/>
  </r>
  <r>
    <n v="2155"/>
    <x v="154"/>
    <x v="1"/>
    <x v="8"/>
    <x v="2"/>
    <s v="C Corp"/>
    <n v="12"/>
    <n v="36798"/>
    <n v="32437"/>
    <n v="441576"/>
    <n v="52332"/>
    <n v="0.11851187564541552"/>
  </r>
  <r>
    <n v="2156"/>
    <x v="155"/>
    <x v="1"/>
    <x v="7"/>
    <x v="1"/>
    <s v="A Traders"/>
    <n v="8"/>
    <n v="5915"/>
    <n v="4829"/>
    <n v="47320"/>
    <n v="8688"/>
    <n v="0.18360101437024515"/>
  </r>
  <r>
    <n v="2157"/>
    <x v="156"/>
    <x v="2"/>
    <x v="1"/>
    <x v="1"/>
    <s v="E Store"/>
    <n v="3"/>
    <n v="56065"/>
    <n v="47086"/>
    <n v="168195"/>
    <n v="26937"/>
    <n v="0.16015339338268081"/>
  </r>
  <r>
    <n v="2158"/>
    <x v="157"/>
    <x v="2"/>
    <x v="1"/>
    <x v="1"/>
    <s v="E Store"/>
    <n v="4"/>
    <n v="19782"/>
    <n v="15816"/>
    <n v="79128"/>
    <n v="15864"/>
    <n v="0.20048528965726417"/>
  </r>
  <r>
    <n v="2159"/>
    <x v="158"/>
    <x v="3"/>
    <x v="6"/>
    <x v="1"/>
    <s v="C Corp"/>
    <n v="8"/>
    <n v="43803"/>
    <n v="32220"/>
    <n v="350424"/>
    <n v="92664"/>
    <n v="0.26443394288062461"/>
  </r>
  <r>
    <n v="2160"/>
    <x v="159"/>
    <x v="2"/>
    <x v="3"/>
    <x v="0"/>
    <s v="A Traders"/>
    <n v="15"/>
    <n v="6484"/>
    <n v="5344"/>
    <n v="97260"/>
    <n v="17100"/>
    <n v="0.17581739666872301"/>
  </r>
  <r>
    <n v="2161"/>
    <x v="160"/>
    <x v="3"/>
    <x v="7"/>
    <x v="1"/>
    <s v="E Store"/>
    <n v="2"/>
    <n v="34516"/>
    <n v="24763"/>
    <n v="69032"/>
    <n v="19506"/>
    <n v="0.28256460771815972"/>
  </r>
  <r>
    <n v="2162"/>
    <x v="161"/>
    <x v="3"/>
    <x v="8"/>
    <x v="2"/>
    <s v="C Corp"/>
    <n v="19"/>
    <n v="27227"/>
    <n v="21435"/>
    <n v="517313"/>
    <n v="110048"/>
    <n v="0.21273001065119182"/>
  </r>
  <r>
    <n v="2163"/>
    <x v="162"/>
    <x v="1"/>
    <x v="0"/>
    <x v="0"/>
    <s v="E Store"/>
    <n v="15"/>
    <n v="18086"/>
    <n v="12668"/>
    <n v="271290"/>
    <n v="81270"/>
    <n v="0.29956872719230343"/>
  </r>
  <r>
    <n v="2164"/>
    <x v="163"/>
    <x v="2"/>
    <x v="7"/>
    <x v="1"/>
    <s v="A Traders"/>
    <n v="4"/>
    <n v="59879"/>
    <n v="49246"/>
    <n v="239516"/>
    <n v="42532"/>
    <n v="0.17757477579785902"/>
  </r>
  <r>
    <n v="2165"/>
    <x v="164"/>
    <x v="3"/>
    <x v="7"/>
    <x v="1"/>
    <s v="D Outlet"/>
    <n v="1"/>
    <n v="44528"/>
    <n v="30036"/>
    <n v="44528"/>
    <n v="14492"/>
    <n v="0.32545813869924539"/>
  </r>
  <r>
    <n v="2166"/>
    <x v="165"/>
    <x v="2"/>
    <x v="3"/>
    <x v="0"/>
    <s v="E Store"/>
    <n v="10"/>
    <n v="59701"/>
    <n v="49476"/>
    <n v="597010"/>
    <n v="102250"/>
    <n v="0.17127016297884456"/>
  </r>
  <r>
    <n v="2167"/>
    <x v="166"/>
    <x v="2"/>
    <x v="2"/>
    <x v="1"/>
    <s v="E Store"/>
    <n v="15"/>
    <n v="6859"/>
    <n v="5358"/>
    <n v="102885"/>
    <n v="22515"/>
    <n v="0.2188365650969529"/>
  </r>
  <r>
    <n v="2168"/>
    <x v="167"/>
    <x v="1"/>
    <x v="2"/>
    <x v="1"/>
    <s v="D Outlet"/>
    <n v="19"/>
    <n v="36159"/>
    <n v="30068"/>
    <n v="687021"/>
    <n v="115729"/>
    <n v="0.16845045493514754"/>
  </r>
  <r>
    <n v="2169"/>
    <x v="168"/>
    <x v="0"/>
    <x v="2"/>
    <x v="1"/>
    <s v="C Corp"/>
    <n v="5"/>
    <n v="34061"/>
    <n v="23009"/>
    <n v="170305"/>
    <n v="55260"/>
    <n v="0.32447667420216669"/>
  </r>
  <r>
    <n v="2170"/>
    <x v="169"/>
    <x v="3"/>
    <x v="8"/>
    <x v="2"/>
    <s v="C Corp"/>
    <n v="15"/>
    <n v="11289"/>
    <n v="7543"/>
    <n v="169335"/>
    <n v="56190"/>
    <n v="0.33182744264328107"/>
  </r>
  <r>
    <n v="2171"/>
    <x v="170"/>
    <x v="0"/>
    <x v="8"/>
    <x v="2"/>
    <s v="D Outlet"/>
    <n v="15"/>
    <n v="44741"/>
    <n v="35051"/>
    <n v="671115"/>
    <n v="145350"/>
    <n v="0.21657987081200689"/>
  </r>
  <r>
    <n v="2172"/>
    <x v="171"/>
    <x v="0"/>
    <x v="2"/>
    <x v="1"/>
    <s v="B Mart"/>
    <n v="5"/>
    <n v="15843"/>
    <n v="12816"/>
    <n v="79215"/>
    <n v="15135"/>
    <n v="0.19106229880704412"/>
  </r>
  <r>
    <n v="2173"/>
    <x v="172"/>
    <x v="3"/>
    <x v="7"/>
    <x v="1"/>
    <s v="C Corp"/>
    <n v="9"/>
    <n v="42063"/>
    <n v="29962"/>
    <n v="378567"/>
    <n v="108909"/>
    <n v="0.28768751634453082"/>
  </r>
  <r>
    <n v="2174"/>
    <x v="173"/>
    <x v="3"/>
    <x v="8"/>
    <x v="2"/>
    <s v="E Store"/>
    <n v="1"/>
    <n v="3868"/>
    <n v="3394"/>
    <n v="3868"/>
    <n v="474"/>
    <n v="0.12254395036194415"/>
  </r>
  <r>
    <n v="2175"/>
    <x v="174"/>
    <x v="1"/>
    <x v="1"/>
    <x v="1"/>
    <s v="C Corp"/>
    <n v="1"/>
    <n v="36685"/>
    <n v="31243"/>
    <n v="36685"/>
    <n v="5442"/>
    <n v="0.14834400981327517"/>
  </r>
  <r>
    <n v="2176"/>
    <x v="175"/>
    <x v="3"/>
    <x v="8"/>
    <x v="2"/>
    <s v="D Outlet"/>
    <n v="9"/>
    <n v="3208"/>
    <n v="2289"/>
    <n v="28872"/>
    <n v="8271"/>
    <n v="0.28647132169576062"/>
  </r>
  <r>
    <n v="2177"/>
    <x v="176"/>
    <x v="1"/>
    <x v="6"/>
    <x v="1"/>
    <s v="D Outlet"/>
    <n v="3"/>
    <n v="37480"/>
    <n v="29276"/>
    <n v="112440"/>
    <n v="24612"/>
    <n v="0.21889007470651015"/>
  </r>
  <r>
    <n v="2178"/>
    <x v="177"/>
    <x v="1"/>
    <x v="6"/>
    <x v="1"/>
    <s v="B Mart"/>
    <n v="2"/>
    <n v="34893"/>
    <n v="30564"/>
    <n v="69786"/>
    <n v="8658"/>
    <n v="0.12406499871034304"/>
  </r>
  <r>
    <n v="2179"/>
    <x v="178"/>
    <x v="1"/>
    <x v="5"/>
    <x v="1"/>
    <s v="D Outlet"/>
    <n v="11"/>
    <n v="56142"/>
    <n v="41301"/>
    <n v="617562"/>
    <n v="163251"/>
    <n v="0.26434754729079835"/>
  </r>
  <r>
    <n v="2180"/>
    <x v="179"/>
    <x v="0"/>
    <x v="4"/>
    <x v="1"/>
    <s v="E Store"/>
    <n v="7"/>
    <n v="50857"/>
    <n v="33205"/>
    <n v="355999"/>
    <n v="123564"/>
    <n v="0.34709086261478261"/>
  </r>
  <r>
    <n v="2181"/>
    <x v="180"/>
    <x v="3"/>
    <x v="8"/>
    <x v="2"/>
    <s v="B Mart"/>
    <n v="11"/>
    <n v="46740"/>
    <n v="33125"/>
    <n v="514140"/>
    <n v="149765"/>
    <n v="0.29129225502781342"/>
  </r>
  <r>
    <n v="2182"/>
    <x v="181"/>
    <x v="0"/>
    <x v="5"/>
    <x v="1"/>
    <s v="A Traders"/>
    <n v="17"/>
    <n v="38856"/>
    <n v="29318"/>
    <n v="660552"/>
    <n v="162146"/>
    <n v="0.24547045501338274"/>
  </r>
  <r>
    <n v="2183"/>
    <x v="182"/>
    <x v="2"/>
    <x v="7"/>
    <x v="1"/>
    <s v="A Traders"/>
    <n v="8"/>
    <n v="37511"/>
    <n v="27172"/>
    <n v="300088"/>
    <n v="82712"/>
    <n v="0.27562581642718137"/>
  </r>
  <r>
    <n v="2184"/>
    <x v="183"/>
    <x v="3"/>
    <x v="0"/>
    <x v="0"/>
    <s v="E Store"/>
    <n v="19"/>
    <n v="2982"/>
    <n v="1976"/>
    <n v="56658"/>
    <n v="19114"/>
    <n v="0.33735747820254863"/>
  </r>
  <r>
    <n v="2185"/>
    <x v="184"/>
    <x v="0"/>
    <x v="7"/>
    <x v="1"/>
    <s v="C Corp"/>
    <n v="16"/>
    <n v="21408"/>
    <n v="15270"/>
    <n v="342528"/>
    <n v="98208"/>
    <n v="0.28671524663677128"/>
  </r>
  <r>
    <n v="2186"/>
    <x v="185"/>
    <x v="3"/>
    <x v="5"/>
    <x v="1"/>
    <s v="B Mart"/>
    <n v="15"/>
    <n v="34036"/>
    <n v="28340"/>
    <n v="510540"/>
    <n v="85440"/>
    <n v="0.16735221530144553"/>
  </r>
  <r>
    <n v="2187"/>
    <x v="186"/>
    <x v="1"/>
    <x v="3"/>
    <x v="0"/>
    <s v="D Outlet"/>
    <n v="6"/>
    <n v="54735"/>
    <n v="40740"/>
    <n v="328410"/>
    <n v="83970"/>
    <n v="0.25568648944916417"/>
  </r>
  <r>
    <n v="2188"/>
    <x v="187"/>
    <x v="1"/>
    <x v="7"/>
    <x v="1"/>
    <s v="B Mart"/>
    <n v="7"/>
    <n v="52987"/>
    <n v="45491"/>
    <n v="370909"/>
    <n v="52472"/>
    <n v="0.1414686621246721"/>
  </r>
  <r>
    <n v="2189"/>
    <x v="188"/>
    <x v="1"/>
    <x v="4"/>
    <x v="1"/>
    <s v="D Outlet"/>
    <n v="1"/>
    <n v="10593"/>
    <n v="8029"/>
    <n v="10593"/>
    <n v="2564"/>
    <n v="0.24204663456999906"/>
  </r>
  <r>
    <n v="2190"/>
    <x v="189"/>
    <x v="2"/>
    <x v="5"/>
    <x v="1"/>
    <s v="C Corp"/>
    <n v="1"/>
    <n v="20346"/>
    <n v="16229"/>
    <n v="20346"/>
    <n v="4117"/>
    <n v="0.20234935613879879"/>
  </r>
  <r>
    <n v="2191"/>
    <x v="190"/>
    <x v="3"/>
    <x v="8"/>
    <x v="2"/>
    <s v="A Traders"/>
    <n v="8"/>
    <n v="31178"/>
    <n v="24991"/>
    <n v="249424"/>
    <n v="49496"/>
    <n v="0.19844120854448649"/>
  </r>
  <r>
    <n v="2192"/>
    <x v="191"/>
    <x v="0"/>
    <x v="1"/>
    <x v="1"/>
    <s v="B Mart"/>
    <n v="15"/>
    <n v="7222"/>
    <n v="6255"/>
    <n v="108330"/>
    <n v="14505"/>
    <n v="0.13389642758238715"/>
  </r>
  <r>
    <n v="2193"/>
    <x v="192"/>
    <x v="1"/>
    <x v="4"/>
    <x v="1"/>
    <s v="D Outlet"/>
    <n v="14"/>
    <n v="35411"/>
    <n v="31750"/>
    <n v="495754"/>
    <n v="51254"/>
    <n v="0.10338595351726865"/>
  </r>
  <r>
    <n v="2194"/>
    <x v="193"/>
    <x v="1"/>
    <x v="2"/>
    <x v="1"/>
    <s v="B Mart"/>
    <n v="14"/>
    <n v="41624"/>
    <n v="26736"/>
    <n v="582736"/>
    <n v="208432"/>
    <n v="0.35767826254084184"/>
  </r>
  <r>
    <n v="2195"/>
    <x v="194"/>
    <x v="0"/>
    <x v="0"/>
    <x v="0"/>
    <s v="E Store"/>
    <n v="19"/>
    <n v="4925"/>
    <n v="3081"/>
    <n v="93575"/>
    <n v="35036"/>
    <n v="0.37441624365482234"/>
  </r>
  <r>
    <n v="2196"/>
    <x v="195"/>
    <x v="3"/>
    <x v="4"/>
    <x v="1"/>
    <s v="A Traders"/>
    <n v="18"/>
    <n v="14359"/>
    <n v="11384"/>
    <n v="258462"/>
    <n v="53550"/>
    <n v="0.20718713002298211"/>
  </r>
  <r>
    <n v="2197"/>
    <x v="196"/>
    <x v="1"/>
    <x v="1"/>
    <x v="1"/>
    <s v="D Outlet"/>
    <n v="2"/>
    <n v="22919"/>
    <n v="16060"/>
    <n v="45838"/>
    <n v="13718"/>
    <n v="0.29927134691740476"/>
  </r>
  <r>
    <n v="2198"/>
    <x v="197"/>
    <x v="3"/>
    <x v="2"/>
    <x v="1"/>
    <s v="E Store"/>
    <n v="9"/>
    <n v="15096"/>
    <n v="10620"/>
    <n v="135864"/>
    <n v="40284"/>
    <n v="0.29650238473767887"/>
  </r>
  <r>
    <n v="2199"/>
    <x v="198"/>
    <x v="0"/>
    <x v="4"/>
    <x v="1"/>
    <s v="A Traders"/>
    <n v="12"/>
    <n v="55271"/>
    <n v="49321"/>
    <n v="663252"/>
    <n v="71400"/>
    <n v="0.10765139042174016"/>
  </r>
  <r>
    <n v="2200"/>
    <x v="199"/>
    <x v="3"/>
    <x v="8"/>
    <x v="2"/>
    <s v="C Corp"/>
    <n v="17"/>
    <n v="2606"/>
    <n v="2262"/>
    <n v="44302"/>
    <n v="5848"/>
    <n v="0.13200306983883345"/>
  </r>
  <r>
    <n v="2201"/>
    <x v="200"/>
    <x v="2"/>
    <x v="7"/>
    <x v="1"/>
    <s v="A Traders"/>
    <n v="2"/>
    <n v="3073"/>
    <n v="2527"/>
    <n v="6146"/>
    <n v="1092"/>
    <n v="0.1776765375854214"/>
  </r>
  <r>
    <n v="2202"/>
    <x v="201"/>
    <x v="3"/>
    <x v="0"/>
    <x v="0"/>
    <s v="D Outlet"/>
    <n v="11"/>
    <n v="24252"/>
    <n v="15565"/>
    <n v="266772"/>
    <n v="95557"/>
    <n v="0.35819726208147784"/>
  </r>
  <r>
    <n v="2203"/>
    <x v="202"/>
    <x v="0"/>
    <x v="5"/>
    <x v="1"/>
    <s v="E Store"/>
    <n v="18"/>
    <n v="9496"/>
    <n v="5749"/>
    <n v="170928"/>
    <n v="67446"/>
    <n v="0.39458719460825609"/>
  </r>
  <r>
    <n v="2204"/>
    <x v="203"/>
    <x v="2"/>
    <x v="2"/>
    <x v="1"/>
    <s v="A Traders"/>
    <n v="17"/>
    <n v="57884"/>
    <n v="39489"/>
    <n v="984028"/>
    <n v="312715"/>
    <n v="0.31779075392163636"/>
  </r>
  <r>
    <n v="2205"/>
    <x v="204"/>
    <x v="3"/>
    <x v="3"/>
    <x v="0"/>
    <s v="E Store"/>
    <n v="10"/>
    <n v="13375"/>
    <n v="8853"/>
    <n v="133750"/>
    <n v="45220"/>
    <n v="0.33809345794392526"/>
  </r>
  <r>
    <n v="2206"/>
    <x v="205"/>
    <x v="3"/>
    <x v="6"/>
    <x v="1"/>
    <s v="D Outlet"/>
    <n v="8"/>
    <n v="16146"/>
    <n v="13920"/>
    <n v="129168"/>
    <n v="17808"/>
    <n v="0.13786696395392048"/>
  </r>
  <r>
    <n v="2207"/>
    <x v="206"/>
    <x v="2"/>
    <x v="6"/>
    <x v="1"/>
    <s v="B Mart"/>
    <n v="13"/>
    <n v="48424"/>
    <n v="31602"/>
    <n v="629512"/>
    <n v="218686"/>
    <n v="0.34738972410375019"/>
  </r>
  <r>
    <n v="2208"/>
    <x v="207"/>
    <x v="0"/>
    <x v="1"/>
    <x v="1"/>
    <s v="B Mart"/>
    <n v="14"/>
    <n v="24527"/>
    <n v="20388"/>
    <n v="343378"/>
    <n v="57946"/>
    <n v="0.16875280303339177"/>
  </r>
  <r>
    <n v="2209"/>
    <x v="208"/>
    <x v="1"/>
    <x v="3"/>
    <x v="0"/>
    <s v="B Mart"/>
    <n v="4"/>
    <n v="51038"/>
    <n v="33445"/>
    <n v="204152"/>
    <n v="70372"/>
    <n v="0.34470394607939181"/>
  </r>
  <r>
    <n v="2210"/>
    <x v="209"/>
    <x v="2"/>
    <x v="1"/>
    <x v="1"/>
    <s v="C Corp"/>
    <n v="4"/>
    <n v="53502"/>
    <n v="36734"/>
    <n v="214008"/>
    <n v="67072"/>
    <n v="0.3134088445291765"/>
  </r>
  <r>
    <n v="2211"/>
    <x v="210"/>
    <x v="1"/>
    <x v="0"/>
    <x v="0"/>
    <s v="E Store"/>
    <n v="2"/>
    <n v="31963"/>
    <n v="24608"/>
    <n v="63926"/>
    <n v="14710"/>
    <n v="0.2301098144729844"/>
  </r>
  <r>
    <n v="2212"/>
    <x v="211"/>
    <x v="0"/>
    <x v="8"/>
    <x v="2"/>
    <s v="C Corp"/>
    <n v="15"/>
    <n v="22292"/>
    <n v="15180"/>
    <n v="334380"/>
    <n v="106680"/>
    <n v="0.31903821998923382"/>
  </r>
  <r>
    <n v="2213"/>
    <x v="212"/>
    <x v="1"/>
    <x v="4"/>
    <x v="1"/>
    <s v="B Mart"/>
    <n v="13"/>
    <n v="32487"/>
    <n v="19993"/>
    <n v="422331"/>
    <n v="162422"/>
    <n v="0.38458460307199804"/>
  </r>
  <r>
    <n v="2214"/>
    <x v="213"/>
    <x v="2"/>
    <x v="6"/>
    <x v="1"/>
    <s v="A Traders"/>
    <n v="9"/>
    <n v="33421"/>
    <n v="24807"/>
    <n v="300789"/>
    <n v="77526"/>
    <n v="0.25774213817659558"/>
  </r>
  <r>
    <n v="2215"/>
    <x v="214"/>
    <x v="3"/>
    <x v="7"/>
    <x v="1"/>
    <s v="A Traders"/>
    <n v="8"/>
    <n v="34508"/>
    <n v="28002"/>
    <n v="276064"/>
    <n v="52048"/>
    <n v="0.1885359916541092"/>
  </r>
  <r>
    <n v="2216"/>
    <x v="215"/>
    <x v="0"/>
    <x v="0"/>
    <x v="0"/>
    <s v="D Outlet"/>
    <n v="5"/>
    <n v="24854"/>
    <n v="21019"/>
    <n v="124270"/>
    <n v="19175"/>
    <n v="0.15430111853222822"/>
  </r>
  <r>
    <n v="2217"/>
    <x v="216"/>
    <x v="1"/>
    <x v="4"/>
    <x v="1"/>
    <s v="E Store"/>
    <n v="12"/>
    <n v="20433"/>
    <n v="12292"/>
    <n v="245196"/>
    <n v="97692"/>
    <n v="0.39842411784857829"/>
  </r>
  <r>
    <n v="2218"/>
    <x v="217"/>
    <x v="1"/>
    <x v="7"/>
    <x v="1"/>
    <s v="D Outlet"/>
    <n v="17"/>
    <n v="36272"/>
    <n v="30359"/>
    <n v="616624"/>
    <n v="100521"/>
    <n v="0.16301830613145127"/>
  </r>
  <r>
    <n v="2219"/>
    <x v="218"/>
    <x v="1"/>
    <x v="8"/>
    <x v="2"/>
    <s v="E Store"/>
    <n v="17"/>
    <n v="838"/>
    <n v="686"/>
    <n v="14246"/>
    <n v="2584"/>
    <n v="0.18138424821002386"/>
  </r>
  <r>
    <n v="2220"/>
    <x v="219"/>
    <x v="2"/>
    <x v="3"/>
    <x v="0"/>
    <s v="D Outlet"/>
    <n v="18"/>
    <n v="40387"/>
    <n v="34521"/>
    <n v="726966"/>
    <n v="105588"/>
    <n v="0.14524475697625475"/>
  </r>
  <r>
    <n v="2221"/>
    <x v="220"/>
    <x v="0"/>
    <x v="6"/>
    <x v="1"/>
    <s v="A Traders"/>
    <n v="10"/>
    <n v="57696"/>
    <n v="46213"/>
    <n v="576960"/>
    <n v="114830"/>
    <n v="0.19902592900721019"/>
  </r>
  <r>
    <n v="2222"/>
    <x v="221"/>
    <x v="3"/>
    <x v="0"/>
    <x v="0"/>
    <s v="E Store"/>
    <n v="7"/>
    <n v="22797"/>
    <n v="17562"/>
    <n v="159579"/>
    <n v="36645"/>
    <n v="0.2296354783524148"/>
  </r>
  <r>
    <n v="2223"/>
    <x v="222"/>
    <x v="3"/>
    <x v="0"/>
    <x v="0"/>
    <s v="C Corp"/>
    <n v="8"/>
    <n v="4732"/>
    <n v="3112"/>
    <n v="37856"/>
    <n v="12960"/>
    <n v="0.34234995773457311"/>
  </r>
  <r>
    <n v="2224"/>
    <x v="223"/>
    <x v="1"/>
    <x v="0"/>
    <x v="0"/>
    <s v="B Mart"/>
    <n v="7"/>
    <n v="34768"/>
    <n v="25807"/>
    <n v="243376"/>
    <n v="62727"/>
    <n v="0.25773699953980672"/>
  </r>
  <r>
    <n v="2225"/>
    <x v="224"/>
    <x v="0"/>
    <x v="0"/>
    <x v="0"/>
    <s v="D Outlet"/>
    <n v="3"/>
    <n v="22276"/>
    <n v="17710"/>
    <n v="66828"/>
    <n v="13698"/>
    <n v="0.20497396300951698"/>
  </r>
  <r>
    <n v="2226"/>
    <x v="225"/>
    <x v="3"/>
    <x v="5"/>
    <x v="1"/>
    <s v="D Outlet"/>
    <n v="8"/>
    <n v="17014"/>
    <n v="13762"/>
    <n v="136112"/>
    <n v="26016"/>
    <n v="0.19113671094392853"/>
  </r>
  <r>
    <n v="2227"/>
    <x v="226"/>
    <x v="2"/>
    <x v="0"/>
    <x v="0"/>
    <s v="A Traders"/>
    <n v="4"/>
    <n v="57346"/>
    <n v="48239"/>
    <n v="229384"/>
    <n v="36428"/>
    <n v="0.15880793778118787"/>
  </r>
  <r>
    <n v="2228"/>
    <x v="227"/>
    <x v="0"/>
    <x v="5"/>
    <x v="1"/>
    <s v="B Mart"/>
    <n v="10"/>
    <n v="48788"/>
    <n v="42240"/>
    <n v="487880"/>
    <n v="65480"/>
    <n v="0.13421333114700337"/>
  </r>
  <r>
    <n v="2229"/>
    <x v="228"/>
    <x v="2"/>
    <x v="0"/>
    <x v="0"/>
    <s v="B Mart"/>
    <n v="13"/>
    <n v="58582"/>
    <n v="50440"/>
    <n v="761566"/>
    <n v="105846"/>
    <n v="0.13898467105936976"/>
  </r>
  <r>
    <n v="2230"/>
    <x v="229"/>
    <x v="2"/>
    <x v="4"/>
    <x v="1"/>
    <s v="E Store"/>
    <n v="17"/>
    <n v="31086"/>
    <n v="27958"/>
    <n v="528462"/>
    <n v="53176"/>
    <n v="0.10062407514636813"/>
  </r>
  <r>
    <n v="2231"/>
    <x v="230"/>
    <x v="2"/>
    <x v="6"/>
    <x v="1"/>
    <s v="B Mart"/>
    <n v="15"/>
    <n v="33539"/>
    <n v="28914"/>
    <n v="503085"/>
    <n v="69375"/>
    <n v="0.13789916216941472"/>
  </r>
  <r>
    <n v="2232"/>
    <x v="231"/>
    <x v="2"/>
    <x v="6"/>
    <x v="1"/>
    <s v="A Traders"/>
    <n v="5"/>
    <n v="25074"/>
    <n v="18213"/>
    <n v="125370"/>
    <n v="34305"/>
    <n v="0.2736300550370902"/>
  </r>
  <r>
    <n v="2233"/>
    <x v="232"/>
    <x v="0"/>
    <x v="4"/>
    <x v="1"/>
    <s v="B Mart"/>
    <n v="18"/>
    <n v="44960"/>
    <n v="31759"/>
    <n v="809280"/>
    <n v="237618"/>
    <n v="0.29361654804270465"/>
  </r>
  <r>
    <n v="2234"/>
    <x v="233"/>
    <x v="1"/>
    <x v="1"/>
    <x v="1"/>
    <s v="A Traders"/>
    <n v="14"/>
    <n v="41100"/>
    <n v="28078"/>
    <n v="575400"/>
    <n v="182308"/>
    <n v="0.31683698296836982"/>
  </r>
  <r>
    <n v="2235"/>
    <x v="234"/>
    <x v="1"/>
    <x v="7"/>
    <x v="1"/>
    <s v="B Mart"/>
    <n v="12"/>
    <n v="57708"/>
    <n v="46391"/>
    <n v="692496"/>
    <n v="135804"/>
    <n v="0.19610799195952033"/>
  </r>
  <r>
    <n v="2236"/>
    <x v="235"/>
    <x v="1"/>
    <x v="1"/>
    <x v="1"/>
    <s v="C Corp"/>
    <n v="6"/>
    <n v="59952"/>
    <n v="40629"/>
    <n v="359712"/>
    <n v="115938"/>
    <n v="0.32230784627702164"/>
  </r>
  <r>
    <n v="2237"/>
    <x v="236"/>
    <x v="1"/>
    <x v="5"/>
    <x v="1"/>
    <s v="D Outlet"/>
    <n v="4"/>
    <n v="48780"/>
    <n v="40146"/>
    <n v="195120"/>
    <n v="34536"/>
    <n v="0.17699876998769987"/>
  </r>
  <r>
    <n v="2238"/>
    <x v="237"/>
    <x v="3"/>
    <x v="3"/>
    <x v="0"/>
    <s v="C Corp"/>
    <n v="14"/>
    <n v="42344"/>
    <n v="35958"/>
    <n v="592816"/>
    <n v="89404"/>
    <n v="0.15081239372756472"/>
  </r>
  <r>
    <n v="2239"/>
    <x v="238"/>
    <x v="3"/>
    <x v="5"/>
    <x v="1"/>
    <s v="C Corp"/>
    <n v="17"/>
    <n v="50476"/>
    <n v="33624"/>
    <n v="858092"/>
    <n v="286484"/>
    <n v="0.33386163721372536"/>
  </r>
  <r>
    <n v="2240"/>
    <x v="239"/>
    <x v="1"/>
    <x v="8"/>
    <x v="2"/>
    <s v="A Traders"/>
    <n v="15"/>
    <n v="53497"/>
    <n v="44949"/>
    <n v="802455"/>
    <n v="128220"/>
    <n v="0.15978466082210219"/>
  </r>
  <r>
    <n v="2241"/>
    <x v="240"/>
    <x v="2"/>
    <x v="6"/>
    <x v="1"/>
    <s v="C Corp"/>
    <n v="17"/>
    <n v="11862"/>
    <n v="9242"/>
    <n v="201654"/>
    <n v="44540"/>
    <n v="0.2208733771707975"/>
  </r>
  <r>
    <n v="2242"/>
    <x v="241"/>
    <x v="0"/>
    <x v="4"/>
    <x v="1"/>
    <s v="C Corp"/>
    <n v="3"/>
    <n v="25925"/>
    <n v="20968"/>
    <n v="77775"/>
    <n v="14871"/>
    <n v="0.19120540019286403"/>
  </r>
  <r>
    <n v="2243"/>
    <x v="242"/>
    <x v="2"/>
    <x v="3"/>
    <x v="0"/>
    <s v="A Traders"/>
    <n v="15"/>
    <n v="54528"/>
    <n v="36378"/>
    <n v="817920"/>
    <n v="272250"/>
    <n v="0.33285651408450706"/>
  </r>
  <r>
    <n v="2244"/>
    <x v="243"/>
    <x v="2"/>
    <x v="2"/>
    <x v="1"/>
    <s v="C Corp"/>
    <n v="11"/>
    <n v="35201"/>
    <n v="30203"/>
    <n v="387211"/>
    <n v="54978"/>
    <n v="0.14198460271015029"/>
  </r>
  <r>
    <n v="2245"/>
    <x v="244"/>
    <x v="3"/>
    <x v="6"/>
    <x v="1"/>
    <s v="A Traders"/>
    <n v="12"/>
    <n v="18102"/>
    <n v="16050"/>
    <n v="217224"/>
    <n v="24624"/>
    <n v="0.11335764003977461"/>
  </r>
  <r>
    <n v="2246"/>
    <x v="245"/>
    <x v="0"/>
    <x v="8"/>
    <x v="2"/>
    <s v="D Outlet"/>
    <n v="2"/>
    <n v="43020"/>
    <n v="32921"/>
    <n v="86040"/>
    <n v="20198"/>
    <n v="0.23475127847512783"/>
  </r>
  <r>
    <n v="2247"/>
    <x v="246"/>
    <x v="3"/>
    <x v="3"/>
    <x v="0"/>
    <s v="B Mart"/>
    <n v="16"/>
    <n v="15163"/>
    <n v="12262"/>
    <n v="242608"/>
    <n v="46416"/>
    <n v="0.19132097869814679"/>
  </r>
  <r>
    <n v="2248"/>
    <x v="247"/>
    <x v="0"/>
    <x v="3"/>
    <x v="0"/>
    <s v="E Store"/>
    <n v="13"/>
    <n v="41496"/>
    <n v="27638"/>
    <n v="539448"/>
    <n v="180154"/>
    <n v="0.33395989974937346"/>
  </r>
  <r>
    <n v="2249"/>
    <x v="248"/>
    <x v="3"/>
    <x v="7"/>
    <x v="1"/>
    <s v="C Corp"/>
    <n v="19"/>
    <n v="38501"/>
    <n v="28819"/>
    <n v="731519"/>
    <n v="183958"/>
    <n v="0.25147398768863144"/>
  </r>
  <r>
    <n v="2250"/>
    <x v="249"/>
    <x v="2"/>
    <x v="8"/>
    <x v="2"/>
    <s v="A Traders"/>
    <n v="13"/>
    <n v="11803"/>
    <n v="9482"/>
    <n v="153439"/>
    <n v="30173"/>
    <n v="0.19664492078285181"/>
  </r>
  <r>
    <n v="2251"/>
    <x v="250"/>
    <x v="0"/>
    <x v="3"/>
    <x v="0"/>
    <s v="A Traders"/>
    <n v="8"/>
    <n v="21195"/>
    <n v="17787"/>
    <n v="169560"/>
    <n v="27264"/>
    <n v="0.1607926397735315"/>
  </r>
  <r>
    <n v="2252"/>
    <x v="251"/>
    <x v="0"/>
    <x v="6"/>
    <x v="1"/>
    <s v="C Corp"/>
    <n v="10"/>
    <n v="40192"/>
    <n v="34207"/>
    <n v="401920"/>
    <n v="59850"/>
    <n v="0.14891023089171976"/>
  </r>
  <r>
    <n v="2253"/>
    <x v="252"/>
    <x v="2"/>
    <x v="3"/>
    <x v="0"/>
    <s v="B Mart"/>
    <n v="11"/>
    <n v="54447"/>
    <n v="35258"/>
    <n v="598917"/>
    <n v="211079"/>
    <n v="0.35243447756533874"/>
  </r>
  <r>
    <n v="2254"/>
    <x v="253"/>
    <x v="3"/>
    <x v="6"/>
    <x v="1"/>
    <s v="C Corp"/>
    <n v="10"/>
    <n v="49638"/>
    <n v="42873"/>
    <n v="496380"/>
    <n v="67650"/>
    <n v="0.1362867158225553"/>
  </r>
  <r>
    <n v="2255"/>
    <x v="254"/>
    <x v="0"/>
    <x v="1"/>
    <x v="1"/>
    <s v="B Mart"/>
    <n v="18"/>
    <n v="37009"/>
    <n v="32294"/>
    <n v="666162"/>
    <n v="84870"/>
    <n v="0.12740144289226946"/>
  </r>
  <r>
    <n v="2256"/>
    <x v="255"/>
    <x v="1"/>
    <x v="0"/>
    <x v="0"/>
    <s v="A Traders"/>
    <n v="14"/>
    <n v="10677"/>
    <n v="7325"/>
    <n v="149478"/>
    <n v="46928"/>
    <n v="0.31394586494333615"/>
  </r>
  <r>
    <n v="2257"/>
    <x v="256"/>
    <x v="0"/>
    <x v="6"/>
    <x v="1"/>
    <s v="E Store"/>
    <n v="2"/>
    <n v="35332"/>
    <n v="22427"/>
    <n v="70664"/>
    <n v="25810"/>
    <n v="0.36524963206158723"/>
  </r>
  <r>
    <n v="2258"/>
    <x v="257"/>
    <x v="3"/>
    <x v="4"/>
    <x v="1"/>
    <s v="A Traders"/>
    <n v="7"/>
    <n v="1507"/>
    <n v="952"/>
    <n v="10549"/>
    <n v="3885"/>
    <n v="0.36828135368281356"/>
  </r>
  <r>
    <n v="2259"/>
    <x v="258"/>
    <x v="2"/>
    <x v="5"/>
    <x v="1"/>
    <s v="D Outlet"/>
    <n v="5"/>
    <n v="1935"/>
    <n v="1528"/>
    <n v="9675"/>
    <n v="2035"/>
    <n v="0.21033591731266149"/>
  </r>
  <r>
    <n v="2260"/>
    <x v="259"/>
    <x v="1"/>
    <x v="2"/>
    <x v="1"/>
    <s v="A Traders"/>
    <n v="4"/>
    <n v="18771"/>
    <n v="15603"/>
    <n v="75084"/>
    <n v="12672"/>
    <n v="0.16877097650631293"/>
  </r>
  <r>
    <n v="2261"/>
    <x v="260"/>
    <x v="3"/>
    <x v="3"/>
    <x v="0"/>
    <s v="E Store"/>
    <n v="18"/>
    <n v="8573"/>
    <n v="6361"/>
    <n v="154314"/>
    <n v="39816"/>
    <n v="0.25801936311676194"/>
  </r>
  <r>
    <n v="2262"/>
    <x v="261"/>
    <x v="1"/>
    <x v="2"/>
    <x v="1"/>
    <s v="E Store"/>
    <n v="12"/>
    <n v="25838"/>
    <n v="16511"/>
    <n v="310056"/>
    <n v="111924"/>
    <n v="0.36097995200866939"/>
  </r>
  <r>
    <n v="2263"/>
    <x v="262"/>
    <x v="1"/>
    <x v="7"/>
    <x v="1"/>
    <s v="B Mart"/>
    <n v="19"/>
    <n v="8313"/>
    <n v="5915"/>
    <n v="157947"/>
    <n v="45562"/>
    <n v="0.28846385179838807"/>
  </r>
  <r>
    <n v="2264"/>
    <x v="263"/>
    <x v="2"/>
    <x v="0"/>
    <x v="0"/>
    <s v="D Outlet"/>
    <n v="2"/>
    <n v="45069"/>
    <n v="29190"/>
    <n v="90138"/>
    <n v="31758"/>
    <n v="0.35232643280303533"/>
  </r>
  <r>
    <n v="2265"/>
    <x v="264"/>
    <x v="1"/>
    <x v="7"/>
    <x v="1"/>
    <s v="E Store"/>
    <n v="7"/>
    <n v="24150"/>
    <n v="17760"/>
    <n v="169050"/>
    <n v="44730"/>
    <n v="0.26459627329192548"/>
  </r>
  <r>
    <n v="2266"/>
    <x v="265"/>
    <x v="0"/>
    <x v="2"/>
    <x v="1"/>
    <s v="C Corp"/>
    <n v="14"/>
    <n v="51475"/>
    <n v="32157"/>
    <n v="720650"/>
    <n v="270452"/>
    <n v="0.37528897523069449"/>
  </r>
  <r>
    <n v="2267"/>
    <x v="266"/>
    <x v="0"/>
    <x v="4"/>
    <x v="1"/>
    <s v="E Store"/>
    <n v="15"/>
    <n v="52548"/>
    <n v="46713"/>
    <n v="788220"/>
    <n v="87525"/>
    <n v="0.11104133363781685"/>
  </r>
  <r>
    <n v="2268"/>
    <x v="267"/>
    <x v="1"/>
    <x v="2"/>
    <x v="1"/>
    <s v="C Corp"/>
    <n v="5"/>
    <n v="49401"/>
    <n v="40905"/>
    <n v="247005"/>
    <n v="42480"/>
    <n v="0.17198032428493351"/>
  </r>
  <r>
    <n v="2269"/>
    <x v="268"/>
    <x v="3"/>
    <x v="7"/>
    <x v="1"/>
    <s v="E Store"/>
    <n v="15"/>
    <n v="13357"/>
    <n v="11596"/>
    <n v="200355"/>
    <n v="26415"/>
    <n v="0.13184098225649471"/>
  </r>
  <r>
    <n v="2270"/>
    <x v="269"/>
    <x v="3"/>
    <x v="4"/>
    <x v="1"/>
    <s v="D Outlet"/>
    <n v="12"/>
    <n v="26931"/>
    <n v="23172"/>
    <n v="323172"/>
    <n v="45108"/>
    <n v="0.13957892391667595"/>
  </r>
  <r>
    <n v="2271"/>
    <x v="270"/>
    <x v="2"/>
    <x v="8"/>
    <x v="2"/>
    <s v="E Store"/>
    <n v="17"/>
    <n v="22063"/>
    <n v="14465"/>
    <n v="375071"/>
    <n v="129166"/>
    <n v="0.34437746453338169"/>
  </r>
  <r>
    <n v="2272"/>
    <x v="271"/>
    <x v="0"/>
    <x v="8"/>
    <x v="2"/>
    <s v="C Corp"/>
    <n v="18"/>
    <n v="9282"/>
    <n v="6832"/>
    <n v="167076"/>
    <n v="44100"/>
    <n v="0.26395173453996984"/>
  </r>
  <r>
    <n v="2273"/>
    <x v="272"/>
    <x v="0"/>
    <x v="1"/>
    <x v="1"/>
    <s v="A Traders"/>
    <n v="3"/>
    <n v="6155"/>
    <n v="5393"/>
    <n v="18465"/>
    <n v="2286"/>
    <n v="0.12380178716490658"/>
  </r>
  <r>
    <n v="2274"/>
    <x v="273"/>
    <x v="2"/>
    <x v="0"/>
    <x v="0"/>
    <s v="A Traders"/>
    <n v="4"/>
    <n v="12036"/>
    <n v="9414"/>
    <n v="48144"/>
    <n v="10488"/>
    <n v="0.21784646061814555"/>
  </r>
  <r>
    <n v="2275"/>
    <x v="274"/>
    <x v="0"/>
    <x v="3"/>
    <x v="0"/>
    <s v="C Corp"/>
    <n v="2"/>
    <n v="5609"/>
    <n v="3913"/>
    <n v="11218"/>
    <n v="3392"/>
    <n v="0.30237118916027811"/>
  </r>
  <r>
    <n v="2276"/>
    <x v="275"/>
    <x v="3"/>
    <x v="7"/>
    <x v="1"/>
    <s v="C Corp"/>
    <n v="18"/>
    <n v="37435"/>
    <n v="27678"/>
    <n v="673830"/>
    <n v="175626"/>
    <n v="0.26063843996260183"/>
  </r>
  <r>
    <n v="2277"/>
    <x v="276"/>
    <x v="1"/>
    <x v="6"/>
    <x v="1"/>
    <s v="C Corp"/>
    <n v="8"/>
    <n v="51695"/>
    <n v="43111"/>
    <n v="413560"/>
    <n v="68672"/>
    <n v="0.16605087532643389"/>
  </r>
  <r>
    <n v="2278"/>
    <x v="277"/>
    <x v="0"/>
    <x v="8"/>
    <x v="2"/>
    <s v="D Outlet"/>
    <n v="14"/>
    <n v="10268"/>
    <n v="6906"/>
    <n v="143752"/>
    <n v="47068"/>
    <n v="0.32742500973899491"/>
  </r>
  <r>
    <n v="2279"/>
    <x v="278"/>
    <x v="0"/>
    <x v="2"/>
    <x v="1"/>
    <s v="A Traders"/>
    <n v="18"/>
    <n v="35988"/>
    <n v="27634"/>
    <n v="647784"/>
    <n v="150372"/>
    <n v="0.23213293319995554"/>
  </r>
  <r>
    <n v="2280"/>
    <x v="279"/>
    <x v="3"/>
    <x v="5"/>
    <x v="1"/>
    <s v="A Traders"/>
    <n v="13"/>
    <n v="6868"/>
    <n v="4301"/>
    <n v="89284"/>
    <n v="33371"/>
    <n v="0.37376237623762376"/>
  </r>
  <r>
    <n v="2281"/>
    <x v="280"/>
    <x v="3"/>
    <x v="2"/>
    <x v="1"/>
    <s v="B Mart"/>
    <n v="2"/>
    <n v="57485"/>
    <n v="41336"/>
    <n v="114970"/>
    <n v="32298"/>
    <n v="0.28092545881534314"/>
  </r>
  <r>
    <n v="2282"/>
    <x v="281"/>
    <x v="2"/>
    <x v="5"/>
    <x v="1"/>
    <s v="C Corp"/>
    <n v="12"/>
    <n v="3541"/>
    <n v="2168"/>
    <n v="42492"/>
    <n v="16476"/>
    <n v="0.38774357526122566"/>
  </r>
  <r>
    <n v="2283"/>
    <x v="282"/>
    <x v="2"/>
    <x v="4"/>
    <x v="1"/>
    <s v="A Traders"/>
    <n v="6"/>
    <n v="50286"/>
    <n v="30648"/>
    <n v="301716"/>
    <n v="117828"/>
    <n v="0.39052619019210116"/>
  </r>
  <r>
    <n v="2284"/>
    <x v="283"/>
    <x v="0"/>
    <x v="5"/>
    <x v="1"/>
    <s v="D Outlet"/>
    <n v="18"/>
    <n v="25791"/>
    <n v="22213"/>
    <n v="464238"/>
    <n v="64404"/>
    <n v="0.13873056492574928"/>
  </r>
  <r>
    <n v="2285"/>
    <x v="284"/>
    <x v="3"/>
    <x v="0"/>
    <x v="0"/>
    <s v="B Mart"/>
    <n v="4"/>
    <n v="33726"/>
    <n v="29289"/>
    <n v="134904"/>
    <n v="17748"/>
    <n v="0.1315602206013165"/>
  </r>
  <r>
    <n v="2286"/>
    <x v="285"/>
    <x v="0"/>
    <x v="3"/>
    <x v="0"/>
    <s v="B Mart"/>
    <n v="9"/>
    <n v="9101"/>
    <n v="6773"/>
    <n v="81909"/>
    <n v="20952"/>
    <n v="0.2557960663663334"/>
  </r>
  <r>
    <n v="2287"/>
    <x v="286"/>
    <x v="2"/>
    <x v="5"/>
    <x v="1"/>
    <s v="A Traders"/>
    <n v="12"/>
    <n v="15849"/>
    <n v="12330"/>
    <n v="190188"/>
    <n v="42228"/>
    <n v="0.22203293583191369"/>
  </r>
  <r>
    <n v="2288"/>
    <x v="287"/>
    <x v="0"/>
    <x v="4"/>
    <x v="1"/>
    <s v="E Store"/>
    <n v="14"/>
    <n v="27245"/>
    <n v="19036"/>
    <n v="381430"/>
    <n v="114926"/>
    <n v="0.30130299137456412"/>
  </r>
  <r>
    <n v="2289"/>
    <x v="288"/>
    <x v="0"/>
    <x v="8"/>
    <x v="2"/>
    <s v="B Mart"/>
    <n v="19"/>
    <n v="28880"/>
    <n v="24169"/>
    <n v="548720"/>
    <n v="89509"/>
    <n v="0.16312326869806093"/>
  </r>
  <r>
    <n v="2290"/>
    <x v="289"/>
    <x v="0"/>
    <x v="3"/>
    <x v="0"/>
    <s v="A Traders"/>
    <n v="5"/>
    <n v="40325"/>
    <n v="32097"/>
    <n v="201625"/>
    <n v="41140"/>
    <n v="0.20404215747055177"/>
  </r>
  <r>
    <n v="2291"/>
    <x v="290"/>
    <x v="2"/>
    <x v="4"/>
    <x v="1"/>
    <s v="D Outlet"/>
    <n v="15"/>
    <n v="14525"/>
    <n v="10472"/>
    <n v="217875"/>
    <n v="60795"/>
    <n v="0.27903614457831327"/>
  </r>
  <r>
    <n v="2292"/>
    <x v="291"/>
    <x v="0"/>
    <x v="7"/>
    <x v="1"/>
    <s v="D Outlet"/>
    <n v="5"/>
    <n v="7505"/>
    <n v="6666"/>
    <n v="37525"/>
    <n v="4195"/>
    <n v="0.11179213857428381"/>
  </r>
  <r>
    <n v="2293"/>
    <x v="292"/>
    <x v="1"/>
    <x v="2"/>
    <x v="1"/>
    <s v="A Traders"/>
    <n v="17"/>
    <n v="34223"/>
    <n v="20945"/>
    <n v="581791"/>
    <n v="225726"/>
    <n v="0.38798468865967334"/>
  </r>
  <r>
    <n v="2294"/>
    <x v="293"/>
    <x v="3"/>
    <x v="2"/>
    <x v="1"/>
    <s v="B Mart"/>
    <n v="4"/>
    <n v="26349"/>
    <n v="21542"/>
    <n v="105396"/>
    <n v="19228"/>
    <n v="0.1824357660632282"/>
  </r>
  <r>
    <n v="2295"/>
    <x v="294"/>
    <x v="1"/>
    <x v="2"/>
    <x v="1"/>
    <s v="B Mart"/>
    <n v="19"/>
    <n v="59641"/>
    <n v="47504"/>
    <n v="1133179"/>
    <n v="230603"/>
    <n v="0.20350094733488708"/>
  </r>
  <r>
    <n v="2296"/>
    <x v="295"/>
    <x v="3"/>
    <x v="3"/>
    <x v="0"/>
    <s v="E Store"/>
    <n v="13"/>
    <n v="21616"/>
    <n v="14335"/>
    <n v="281008"/>
    <n v="94653"/>
    <n v="0.33683382679496671"/>
  </r>
  <r>
    <n v="2297"/>
    <x v="296"/>
    <x v="0"/>
    <x v="7"/>
    <x v="1"/>
    <s v="B Mart"/>
    <n v="4"/>
    <n v="27990"/>
    <n v="23310"/>
    <n v="111960"/>
    <n v="18720"/>
    <n v="0.16720257234726688"/>
  </r>
  <r>
    <n v="2298"/>
    <x v="297"/>
    <x v="2"/>
    <x v="5"/>
    <x v="1"/>
    <s v="A Traders"/>
    <n v="6"/>
    <n v="33642"/>
    <n v="24353"/>
    <n v="201852"/>
    <n v="55734"/>
    <n v="0.27611319184352895"/>
  </r>
  <r>
    <n v="2299"/>
    <x v="298"/>
    <x v="0"/>
    <x v="3"/>
    <x v="0"/>
    <s v="A Traders"/>
    <n v="14"/>
    <n v="31023"/>
    <n v="22383"/>
    <n v="434322"/>
    <n v="120960"/>
    <n v="0.278503046127067"/>
  </r>
  <r>
    <n v="2300"/>
    <x v="299"/>
    <x v="1"/>
    <x v="2"/>
    <x v="1"/>
    <s v="A Traders"/>
    <n v="17"/>
    <n v="41589"/>
    <n v="26141"/>
    <n v="707013"/>
    <n v="262616"/>
    <n v="0.371444372309985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B4C83D-12F3-4366-90BD-1720032D428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14" firstHeaderRow="1" firstDataRow="1" firstDataCol="1"/>
  <pivotFields count="13">
    <pivotField showAll="0"/>
    <pivotField axis="axisRow" numFmtId="16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5">
        <item x="1"/>
        <item x="2"/>
        <item x="3"/>
        <item x="0"/>
        <item t="default"/>
      </items>
    </pivotField>
    <pivotField showAll="0">
      <items count="10">
        <item x="6"/>
        <item x="4"/>
        <item x="7"/>
        <item x="8"/>
        <item x="2"/>
        <item x="5"/>
        <item x="3"/>
        <item x="0"/>
        <item x="1"/>
        <item t="default"/>
      </items>
    </pivotField>
    <pivotField showAll="0">
      <items count="4">
        <item x="2"/>
        <item x="1"/>
        <item x="0"/>
        <item t="default"/>
      </items>
    </pivotField>
    <pivotField showAll="0"/>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2"/>
    <field x="1"/>
  </rowFields>
  <rowItems count="11">
    <i>
      <x v="1"/>
    </i>
    <i>
      <x v="2"/>
    </i>
    <i>
      <x v="3"/>
    </i>
    <i>
      <x v="4"/>
    </i>
    <i>
      <x v="5"/>
    </i>
    <i>
      <x v="6"/>
    </i>
    <i>
      <x v="7"/>
    </i>
    <i>
      <x v="8"/>
    </i>
    <i>
      <x v="9"/>
    </i>
    <i>
      <x v="10"/>
    </i>
    <i t="grand">
      <x/>
    </i>
  </rowItems>
  <colItems count="1">
    <i/>
  </colItems>
  <dataFields count="1">
    <dataField name="Sum of Sales" fld="9" baseField="12" baseItem="6" numFmtId="167"/>
  </dataFields>
  <chartFormats count="22">
    <chartFormat chart="0" format="0" series="1">
      <pivotArea type="data" outline="0" fieldPosition="0">
        <references count="1">
          <reference field="4294967294" count="1" selected="0">
            <x v="0"/>
          </reference>
        </references>
      </pivotArea>
    </chartFormat>
    <chartFormat chart="0" format="8">
      <pivotArea type="data" outline="0" fieldPosition="0">
        <references count="2">
          <reference field="4294967294" count="1" selected="0">
            <x v="0"/>
          </reference>
          <reference field="12" count="1" selected="0">
            <x v="7"/>
          </reference>
        </references>
      </pivotArea>
    </chartFormat>
    <chartFormat chart="0" format="9">
      <pivotArea type="data" outline="0" fieldPosition="0">
        <references count="2">
          <reference field="4294967294" count="1" selected="0">
            <x v="0"/>
          </reference>
          <reference field="12" count="1" selected="0">
            <x v="4"/>
          </reference>
        </references>
      </pivotArea>
    </chartFormat>
    <chartFormat chart="0" format="10">
      <pivotArea type="data" outline="0" fieldPosition="0">
        <references count="2">
          <reference field="4294967294" count="1" selected="0">
            <x v="0"/>
          </reference>
          <reference field="12" count="1" selected="0">
            <x v="3"/>
          </reference>
        </references>
      </pivotArea>
    </chartFormat>
    <chartFormat chart="0" format="11">
      <pivotArea type="data" outline="0" fieldPosition="0">
        <references count="2">
          <reference field="4294967294" count="1" selected="0">
            <x v="0"/>
          </reference>
          <reference field="12" count="1" selected="0">
            <x v="10"/>
          </reference>
        </references>
      </pivotArea>
    </chartFormat>
    <chartFormat chart="0" format="12">
      <pivotArea type="data" outline="0" fieldPosition="0">
        <references count="2">
          <reference field="4294967294" count="1" selected="0">
            <x v="0"/>
          </reference>
          <reference field="12" count="1" selected="0">
            <x v="8"/>
          </reference>
        </references>
      </pivotArea>
    </chartFormat>
    <chartFormat chart="0" format="13">
      <pivotArea type="data" outline="0" fieldPosition="0">
        <references count="2">
          <reference field="4294967294" count="1" selected="0">
            <x v="0"/>
          </reference>
          <reference field="12" count="1" selected="0">
            <x v="1"/>
          </reference>
        </references>
      </pivotArea>
    </chartFormat>
    <chartFormat chart="0" format="14">
      <pivotArea type="data" outline="0" fieldPosition="0">
        <references count="2">
          <reference field="4294967294" count="1" selected="0">
            <x v="0"/>
          </reference>
          <reference field="12" count="1" selected="0">
            <x v="2"/>
          </reference>
        </references>
      </pivotArea>
    </chartFormat>
    <chartFormat chart="0" format="15">
      <pivotArea type="data" outline="0" fieldPosition="0">
        <references count="2">
          <reference field="4294967294" count="1" selected="0">
            <x v="0"/>
          </reference>
          <reference field="12" count="1" selected="0">
            <x v="5"/>
          </reference>
        </references>
      </pivotArea>
    </chartFormat>
    <chartFormat chart="0" format="16">
      <pivotArea type="data" outline="0" fieldPosition="0">
        <references count="2">
          <reference field="4294967294" count="1" selected="0">
            <x v="0"/>
          </reference>
          <reference field="12" count="1" selected="0">
            <x v="6"/>
          </reference>
        </references>
      </pivotArea>
    </chartFormat>
    <chartFormat chart="0" format="17">
      <pivotArea type="data" outline="0" fieldPosition="0">
        <references count="2">
          <reference field="4294967294" count="1" selected="0">
            <x v="0"/>
          </reference>
          <reference field="12" count="1" selected="0">
            <x v="9"/>
          </reference>
        </references>
      </pivotArea>
    </chartFormat>
    <chartFormat chart="20" format="29" series="1">
      <pivotArea type="data" outline="0" fieldPosition="0">
        <references count="1">
          <reference field="4294967294" count="1" selected="0">
            <x v="0"/>
          </reference>
        </references>
      </pivotArea>
    </chartFormat>
    <chartFormat chart="20" format="30">
      <pivotArea type="data" outline="0" fieldPosition="0">
        <references count="2">
          <reference field="4294967294" count="1" selected="0">
            <x v="0"/>
          </reference>
          <reference field="12" count="1" selected="0">
            <x v="1"/>
          </reference>
        </references>
      </pivotArea>
    </chartFormat>
    <chartFormat chart="20" format="31">
      <pivotArea type="data" outline="0" fieldPosition="0">
        <references count="2">
          <reference field="4294967294" count="1" selected="0">
            <x v="0"/>
          </reference>
          <reference field="12" count="1" selected="0">
            <x v="2"/>
          </reference>
        </references>
      </pivotArea>
    </chartFormat>
    <chartFormat chart="20" format="32">
      <pivotArea type="data" outline="0" fieldPosition="0">
        <references count="2">
          <reference field="4294967294" count="1" selected="0">
            <x v="0"/>
          </reference>
          <reference field="12" count="1" selected="0">
            <x v="3"/>
          </reference>
        </references>
      </pivotArea>
    </chartFormat>
    <chartFormat chart="20" format="33">
      <pivotArea type="data" outline="0" fieldPosition="0">
        <references count="2">
          <reference field="4294967294" count="1" selected="0">
            <x v="0"/>
          </reference>
          <reference field="12" count="1" selected="0">
            <x v="4"/>
          </reference>
        </references>
      </pivotArea>
    </chartFormat>
    <chartFormat chart="20" format="34">
      <pivotArea type="data" outline="0" fieldPosition="0">
        <references count="2">
          <reference field="4294967294" count="1" selected="0">
            <x v="0"/>
          </reference>
          <reference field="12" count="1" selected="0">
            <x v="5"/>
          </reference>
        </references>
      </pivotArea>
    </chartFormat>
    <chartFormat chart="20" format="35">
      <pivotArea type="data" outline="0" fieldPosition="0">
        <references count="2">
          <reference field="4294967294" count="1" selected="0">
            <x v="0"/>
          </reference>
          <reference field="12" count="1" selected="0">
            <x v="6"/>
          </reference>
        </references>
      </pivotArea>
    </chartFormat>
    <chartFormat chart="20" format="36">
      <pivotArea type="data" outline="0" fieldPosition="0">
        <references count="2">
          <reference field="4294967294" count="1" selected="0">
            <x v="0"/>
          </reference>
          <reference field="12" count="1" selected="0">
            <x v="7"/>
          </reference>
        </references>
      </pivotArea>
    </chartFormat>
    <chartFormat chart="20" format="37">
      <pivotArea type="data" outline="0" fieldPosition="0">
        <references count="2">
          <reference field="4294967294" count="1" selected="0">
            <x v="0"/>
          </reference>
          <reference field="12" count="1" selected="0">
            <x v="8"/>
          </reference>
        </references>
      </pivotArea>
    </chartFormat>
    <chartFormat chart="20" format="38">
      <pivotArea type="data" outline="0" fieldPosition="0">
        <references count="2">
          <reference field="4294967294" count="1" selected="0">
            <x v="0"/>
          </reference>
          <reference field="12" count="1" selected="0">
            <x v="9"/>
          </reference>
        </references>
      </pivotArea>
    </chartFormat>
    <chartFormat chart="20" format="39">
      <pivotArea type="data" outline="0" fieldPosition="0">
        <references count="2">
          <reference field="4294967294" count="1" selected="0">
            <x v="0"/>
          </reference>
          <reference field="1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B306EB-03C6-45BF-A013-20BBC75BE67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3">
    <pivotField showAll="0"/>
    <pivotField numFmtId="16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axis="axisRow" showAll="0">
      <items count="5">
        <item x="1"/>
        <item x="2"/>
        <item x="3"/>
        <item x="0"/>
        <item t="default"/>
      </items>
    </pivotField>
    <pivotField showAll="0">
      <items count="10">
        <item x="6"/>
        <item x="4"/>
        <item x="7"/>
        <item x="8"/>
        <item x="2"/>
        <item x="5"/>
        <item x="3"/>
        <item x="0"/>
        <item x="1"/>
        <item t="default"/>
      </items>
    </pivotField>
    <pivotField showAll="0">
      <items count="4">
        <item x="2"/>
        <item x="1"/>
        <item x="0"/>
        <item t="default"/>
      </items>
    </pivotField>
    <pivotField showAll="0"/>
    <pivotField showAll="0"/>
    <pivotField showAll="0"/>
    <pivotField showAll="0"/>
    <pivotField dataField="1" showAll="0"/>
    <pivotField showAll="0"/>
    <pivotField numFmtId="10" showAll="0"/>
    <pivotField showAll="0" defaultSubtotal="0">
      <items count="14">
        <item x="0"/>
        <item x="1"/>
        <item x="2"/>
        <item x="3"/>
        <item x="4"/>
        <item x="5"/>
        <item x="6"/>
        <item x="7"/>
        <item x="8"/>
        <item x="9"/>
        <item x="10"/>
        <item x="11"/>
        <item x="12"/>
        <item x="13"/>
      </items>
    </pivotField>
  </pivotFields>
  <rowFields count="1">
    <field x="2"/>
  </rowFields>
  <rowItems count="5">
    <i>
      <x/>
    </i>
    <i>
      <x v="1"/>
    </i>
    <i>
      <x v="2"/>
    </i>
    <i>
      <x v="3"/>
    </i>
    <i t="grand">
      <x/>
    </i>
  </rowItems>
  <colItems count="1">
    <i/>
  </colItems>
  <dataFields count="1">
    <dataField name="Sum of Sales" fld="9" baseField="2" baseItem="2" numFmtId="167"/>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7" format="20" series="1">
      <pivotArea type="data" outline="0" fieldPosition="0">
        <references count="1">
          <reference field="4294967294" count="1" selected="0">
            <x v="0"/>
          </reference>
        </references>
      </pivotArea>
    </chartFormat>
    <chartFormat chart="7" format="21">
      <pivotArea type="data" outline="0" fieldPosition="0">
        <references count="2">
          <reference field="4294967294" count="1" selected="0">
            <x v="0"/>
          </reference>
          <reference field="2" count="1" selected="0">
            <x v="0"/>
          </reference>
        </references>
      </pivotArea>
    </chartFormat>
    <chartFormat chart="7" format="22">
      <pivotArea type="data" outline="0" fieldPosition="0">
        <references count="2">
          <reference field="4294967294" count="1" selected="0">
            <x v="0"/>
          </reference>
          <reference field="2" count="1" selected="0">
            <x v="1"/>
          </reference>
        </references>
      </pivotArea>
    </chartFormat>
    <chartFormat chart="7" format="23">
      <pivotArea type="data" outline="0" fieldPosition="0">
        <references count="2">
          <reference field="4294967294" count="1" selected="0">
            <x v="0"/>
          </reference>
          <reference field="2" count="1" selected="0">
            <x v="2"/>
          </reference>
        </references>
      </pivotArea>
    </chartFormat>
    <chartFormat chart="7" format="2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56C401-A71D-4FC2-9138-1269CB085D9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13">
    <pivotField showAll="0"/>
    <pivotField numFmtId="16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5">
        <item x="1"/>
        <item x="2"/>
        <item x="3"/>
        <item x="0"/>
        <item t="default"/>
      </items>
    </pivotField>
    <pivotField axis="axisRow" showAll="0">
      <items count="10">
        <item x="6"/>
        <item x="4"/>
        <item x="7"/>
        <item x="8"/>
        <item x="2"/>
        <item x="5"/>
        <item x="3"/>
        <item x="0"/>
        <item x="1"/>
        <item t="default"/>
      </items>
    </pivotField>
    <pivotField axis="axisRow" showAll="0">
      <items count="4">
        <item sd="0" x="2"/>
        <item sd="0" x="1"/>
        <item sd="0" x="0"/>
        <item t="default"/>
      </items>
    </pivotField>
    <pivotField showAll="0"/>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s>
  <rowFields count="2">
    <field x="4"/>
    <field x="3"/>
  </rowFields>
  <rowItems count="4">
    <i>
      <x/>
    </i>
    <i>
      <x v="1"/>
    </i>
    <i>
      <x v="2"/>
    </i>
    <i t="grand">
      <x/>
    </i>
  </rowItems>
  <colItems count="1">
    <i/>
  </colItems>
  <dataFields count="1">
    <dataField name="Sum of Sales" fld="9" baseField="3" baseItem="1" numFmtId="167"/>
  </dataFields>
  <chartFormats count="5">
    <chartFormat chart="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4" count="1" selected="0">
            <x v="1"/>
          </reference>
        </references>
      </pivotArea>
    </chartFormat>
    <chartFormat chart="22" format="4">
      <pivotArea type="data" outline="0" fieldPosition="0">
        <references count="2">
          <reference field="4294967294" count="1" selected="0">
            <x v="0"/>
          </reference>
          <reference field="4" count="1" selected="0">
            <x v="0"/>
          </reference>
        </references>
      </pivotArea>
    </chartFormat>
    <chartFormat chart="22" format="5">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F55BE8-1F60-4F2F-B35E-77C21368A9D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7" firstHeaderRow="1" firstDataRow="1" firstDataCol="1"/>
  <pivotFields count="13">
    <pivotField showAll="0"/>
    <pivotField numFmtId="16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5">
        <item x="1"/>
        <item x="2"/>
        <item x="3"/>
        <item x="0"/>
        <item t="default"/>
      </items>
    </pivotField>
    <pivotField axis="axisRow" showAll="0" sortType="descending">
      <items count="10">
        <item sd="0" x="6"/>
        <item sd="0" x="4"/>
        <item sd="0" x="7"/>
        <item x="8"/>
        <item sd="0" x="2"/>
        <item x="5"/>
        <item sd="0" x="3"/>
        <item x="0"/>
        <item x="1"/>
        <item t="default"/>
      </items>
      <autoSortScope>
        <pivotArea dataOnly="0" outline="0" fieldPosition="0">
          <references count="1">
            <reference field="4294967294" count="1" selected="0">
              <x v="0"/>
            </reference>
          </references>
        </pivotArea>
      </autoSortScope>
    </pivotField>
    <pivotField axis="axisRow" showAll="0">
      <items count="4">
        <item x="2"/>
        <item x="1"/>
        <item x="0"/>
        <item t="default"/>
      </items>
    </pivotField>
    <pivotField showAll="0"/>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s>
  <rowFields count="2">
    <field x="3"/>
    <field x="4"/>
  </rowFields>
  <rowItems count="14">
    <i>
      <x v="4"/>
    </i>
    <i>
      <x v="1"/>
    </i>
    <i>
      <x v="2"/>
    </i>
    <i>
      <x/>
    </i>
    <i>
      <x v="6"/>
    </i>
    <i>
      <x v="7"/>
    </i>
    <i r="1">
      <x v="2"/>
    </i>
    <i>
      <x v="5"/>
    </i>
    <i r="1">
      <x v="1"/>
    </i>
    <i>
      <x v="3"/>
    </i>
    <i r="1">
      <x/>
    </i>
    <i>
      <x v="8"/>
    </i>
    <i r="1">
      <x v="1"/>
    </i>
    <i t="grand">
      <x/>
    </i>
  </rowItems>
  <colItems count="1">
    <i/>
  </colItems>
  <dataFields count="1">
    <dataField name="Sum of Sales" fld="9"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7E9088-D140-490F-937E-9925A6C4D97F}"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14" firstHeaderRow="0" firstDataRow="1" firstDataCol="1"/>
  <pivotFields count="13">
    <pivotField showAll="0"/>
    <pivotField numFmtId="164" showAll="0">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showAll="0">
      <items count="5">
        <item x="1"/>
        <item x="2"/>
        <item x="3"/>
        <item x="0"/>
        <item t="default"/>
      </items>
    </pivotField>
    <pivotField showAll="0">
      <items count="10">
        <item x="6"/>
        <item x="4"/>
        <item x="7"/>
        <item x="8"/>
        <item x="2"/>
        <item x="5"/>
        <item x="3"/>
        <item x="0"/>
        <item x="1"/>
        <item t="default"/>
      </items>
    </pivotField>
    <pivotField showAll="0">
      <items count="4">
        <item x="2"/>
        <item x="1"/>
        <item x="0"/>
        <item t="default"/>
      </items>
    </pivotField>
    <pivotField showAll="0"/>
    <pivotField showAll="0"/>
    <pivotField showAll="0"/>
    <pivotField showAll="0"/>
    <pivotField dataField="1" showAll="0"/>
    <pivotField dataField="1" showAll="0"/>
    <pivotField numFmtId="10" showAll="0"/>
    <pivotField axis="axisRow" showAll="0">
      <items count="15">
        <item x="0"/>
        <item x="1"/>
        <item x="2"/>
        <item x="3"/>
        <item x="4"/>
        <item x="5"/>
        <item x="6"/>
        <item x="7"/>
        <item x="8"/>
        <item x="9"/>
        <item x="10"/>
        <item x="11"/>
        <item x="12"/>
        <item x="13"/>
        <item t="default"/>
      </items>
    </pivotField>
  </pivotFields>
  <rowFields count="1">
    <field x="12"/>
  </rowFields>
  <rowItems count="11">
    <i>
      <x v="1"/>
    </i>
    <i>
      <x v="2"/>
    </i>
    <i>
      <x v="3"/>
    </i>
    <i>
      <x v="4"/>
    </i>
    <i>
      <x v="5"/>
    </i>
    <i>
      <x v="6"/>
    </i>
    <i>
      <x v="7"/>
    </i>
    <i>
      <x v="8"/>
    </i>
    <i>
      <x v="9"/>
    </i>
    <i>
      <x v="10"/>
    </i>
    <i t="grand">
      <x/>
    </i>
  </rowItems>
  <colFields count="1">
    <field x="-2"/>
  </colFields>
  <colItems count="2">
    <i>
      <x/>
    </i>
    <i i="1">
      <x v="1"/>
    </i>
  </colItems>
  <dataFields count="2">
    <dataField name="Sum of Sales" fld="9" baseField="0" baseItem="0"/>
    <dataField name="Sum of Profi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C8232A53-7F1C-43AA-983C-3B3A3E0585B2}" sourceName="Months (Date)">
  <pivotTables>
    <pivotTable tabId="2" name="PivotTable1"/>
    <pivotTable tabId="8" name="PivotTable1"/>
    <pivotTable tabId="4" name="PivotTable3"/>
    <pivotTable tabId="5" name="PivotTable4"/>
    <pivotTable tabId="6" name="PivotTable5"/>
  </pivotTables>
  <data>
    <tabular pivotCacheId="321979530">
      <items count="14">
        <i x="1" s="1"/>
        <i x="2" s="1"/>
        <i x="3" s="1"/>
        <i x="4" s="1"/>
        <i x="5" s="1"/>
        <i x="6" s="1"/>
        <i x="7" s="1"/>
        <i x="8" s="1"/>
        <i x="9" s="1"/>
        <i x="10" s="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C1E14B8-8B96-4C19-B642-BBE954AAE9C0}" sourceName="Category">
  <pivotTables>
    <pivotTable tabId="2" name="PivotTable1"/>
    <pivotTable tabId="8" name="PivotTable1"/>
    <pivotTable tabId="4" name="PivotTable3"/>
    <pivotTable tabId="5" name="PivotTable4"/>
    <pivotTable tabId="6" name="PivotTable5"/>
  </pivotTables>
  <data>
    <tabular pivotCacheId="32197953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F4571EF-235B-401C-BA71-AD41D3D6AD09}" sourceName="Product">
  <pivotTables>
    <pivotTable tabId="2" name="PivotTable1"/>
    <pivotTable tabId="8" name="PivotTable1"/>
    <pivotTable tabId="4" name="PivotTable3"/>
    <pivotTable tabId="5" name="PivotTable4"/>
    <pivotTable tabId="6" name="PivotTable5"/>
  </pivotTables>
  <data>
    <tabular pivotCacheId="321979530">
      <items count="9">
        <i x="6" s="1"/>
        <i x="4" s="1"/>
        <i x="7" s="1"/>
        <i x="8" s="1"/>
        <i x="2" s="1"/>
        <i x="5"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6FDB497-0251-470A-A64B-BF8820C9FBEA}" sourceName="Region">
  <pivotTables>
    <pivotTable tabId="2" name="PivotTable1"/>
    <pivotTable tabId="8" name="PivotTable1"/>
    <pivotTable tabId="4" name="PivotTable3"/>
    <pivotTable tabId="5" name="PivotTable4"/>
    <pivotTable tabId="6" name="PivotTable5"/>
  </pivotTables>
  <data>
    <tabular pivotCacheId="321979530">
      <items count="4">
        <i x="1" s="1"/>
        <i x="2"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E04EA178-8185-4C1C-923F-88AF2B33A27C}" cache="Slicer_Months__Date" caption="Months (Date)" style="SlicerStyleDark1" rowHeight="241300"/>
  <slicer name="Category" xr10:uid="{33620047-A9DB-47FB-9DA2-7D96739F2762}" cache="Slicer_Category" caption="Category" style="SlicerStyleDark1" rowHeight="241300"/>
  <slicer name="Product" xr10:uid="{D9C79C6C-910F-4C0D-8DF5-F1936BE53DD3}" cache="Slicer_Product" caption="Product" style="SlicerStyleDark1" rowHeight="241300"/>
  <slicer name="Region" xr10:uid="{4F400D0A-E48E-4EA4-876D-8C623BFA7B13}" cache="Slicer_Region" caption="Region" columnCount="2"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AE2212-1DD1-4646-9DD3-5AF7C0076D56}" name="Table1" displayName="Table1" ref="A1:L301" totalsRowShown="0" headerRowDxfId="4" headerRowBorderDxfId="3" tableBorderDxfId="2">
  <autoFilter ref="A1:L301" xr:uid="{A7AE2212-1DD1-4646-9DD3-5AF7C0076D5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61BA46CA-50BA-434D-A78E-311900BCC3AF}" name="Order ID"/>
    <tableColumn id="2" xr3:uid="{09D5A676-B0FC-4FE6-B5FB-A01C5974D2B4}" name="Date" dataDxfId="1"/>
    <tableColumn id="3" xr3:uid="{CB8BF655-7235-4EB5-8DBE-7FAE23237F8C}" name="Region"/>
    <tableColumn id="4" xr3:uid="{F6547C44-89B0-408F-9055-9C8F2C7F351A}" name="Product"/>
    <tableColumn id="5" xr3:uid="{9C16614F-0EB9-4E6A-9F2A-30E530D9763F}" name="Category"/>
    <tableColumn id="6" xr3:uid="{5D48A300-110A-4571-A1DA-D4A061FF1AB0}" name="Customer"/>
    <tableColumn id="7" xr3:uid="{ED67DDC9-BFB7-4546-92B1-4C7E4C4AD714}" name="Qty"/>
    <tableColumn id="8" xr3:uid="{ED5C9CFD-AA6A-41F4-8424-85A4C3D9E46F}" name="Unit Price"/>
    <tableColumn id="9" xr3:uid="{2D9D755F-E74F-49CD-9847-84C791314F6D}" name="COGS"/>
    <tableColumn id="10" xr3:uid="{D093224F-0877-4481-A614-B8032F319F39}" name="Sales"/>
    <tableColumn id="11" xr3:uid="{6EDC5547-0D4C-45CC-A6F0-C1C941479AF8}" name="Profit"/>
    <tableColumn id="12" xr3:uid="{242B985F-6D28-45B7-AD16-1A16FA816E6A}" name="PROFIT MARGIN %" dataDxfId="0">
      <calculatedColumnFormula>(K2/J2)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BDA99-CF5C-4ADF-B632-DDC13257226F}">
  <dimension ref="A3:B14"/>
  <sheetViews>
    <sheetView tabSelected="1" workbookViewId="0">
      <selection activeCell="O17" sqref="O17"/>
    </sheetView>
  </sheetViews>
  <sheetFormatPr defaultRowHeight="15" x14ac:dyDescent="0.25"/>
  <cols>
    <col min="1" max="1" width="13.140625" bestFit="1" customWidth="1"/>
    <col min="2" max="2" width="12.140625" bestFit="1" customWidth="1"/>
  </cols>
  <sheetData>
    <row r="3" spans="1:2" x14ac:dyDescent="0.25">
      <c r="A3" s="5" t="s">
        <v>38</v>
      </c>
      <c r="B3" t="s">
        <v>50</v>
      </c>
    </row>
    <row r="4" spans="1:2" x14ac:dyDescent="0.25">
      <c r="A4" s="6" t="s">
        <v>40</v>
      </c>
      <c r="B4" s="9">
        <v>9606976</v>
      </c>
    </row>
    <row r="5" spans="1:2" x14ac:dyDescent="0.25">
      <c r="A5" s="6" t="s">
        <v>41</v>
      </c>
      <c r="B5" s="9">
        <v>8328924</v>
      </c>
    </row>
    <row r="6" spans="1:2" x14ac:dyDescent="0.25">
      <c r="A6" s="6" t="s">
        <v>42</v>
      </c>
      <c r="B6" s="9">
        <v>9143639</v>
      </c>
    </row>
    <row r="7" spans="1:2" x14ac:dyDescent="0.25">
      <c r="A7" s="6" t="s">
        <v>43</v>
      </c>
      <c r="B7" s="9">
        <v>9935655</v>
      </c>
    </row>
    <row r="8" spans="1:2" x14ac:dyDescent="0.25">
      <c r="A8" s="6" t="s">
        <v>44</v>
      </c>
      <c r="B8" s="9">
        <v>6469852</v>
      </c>
    </row>
    <row r="9" spans="1:2" x14ac:dyDescent="0.25">
      <c r="A9" s="6" t="s">
        <v>45</v>
      </c>
      <c r="B9" s="9">
        <v>8098535</v>
      </c>
    </row>
    <row r="10" spans="1:2" x14ac:dyDescent="0.25">
      <c r="A10" s="6" t="s">
        <v>46</v>
      </c>
      <c r="B10" s="9">
        <v>8520088</v>
      </c>
    </row>
    <row r="11" spans="1:2" x14ac:dyDescent="0.25">
      <c r="A11" s="6" t="s">
        <v>47</v>
      </c>
      <c r="B11" s="9">
        <v>12530544</v>
      </c>
    </row>
    <row r="12" spans="1:2" x14ac:dyDescent="0.25">
      <c r="A12" s="6" t="s">
        <v>48</v>
      </c>
      <c r="B12" s="9">
        <v>8388330</v>
      </c>
    </row>
    <row r="13" spans="1:2" x14ac:dyDescent="0.25">
      <c r="A13" s="6" t="s">
        <v>49</v>
      </c>
      <c r="B13" s="9">
        <v>8253541</v>
      </c>
    </row>
    <row r="14" spans="1:2" x14ac:dyDescent="0.25">
      <c r="A14" s="6" t="s">
        <v>39</v>
      </c>
      <c r="B14" s="9">
        <v>89276084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FB4C-5E0F-466B-8224-DD1370CB5DC1}">
  <dimension ref="A3:B8"/>
  <sheetViews>
    <sheetView workbookViewId="0">
      <selection activeCell="M16" sqref="M16"/>
    </sheetView>
  </sheetViews>
  <sheetFormatPr defaultRowHeight="15" x14ac:dyDescent="0.25"/>
  <cols>
    <col min="1" max="1" width="13.140625" bestFit="1" customWidth="1"/>
    <col min="2" max="2" width="12.140625" bestFit="1" customWidth="1"/>
  </cols>
  <sheetData>
    <row r="3" spans="1:2" x14ac:dyDescent="0.25">
      <c r="A3" s="5" t="s">
        <v>38</v>
      </c>
      <c r="B3" t="s">
        <v>50</v>
      </c>
    </row>
    <row r="4" spans="1:2" x14ac:dyDescent="0.25">
      <c r="A4" s="6" t="s">
        <v>12</v>
      </c>
      <c r="B4" s="9">
        <v>22734042</v>
      </c>
    </row>
    <row r="5" spans="1:2" x14ac:dyDescent="0.25">
      <c r="A5" s="6" t="s">
        <v>13</v>
      </c>
      <c r="B5" s="9">
        <v>23033602</v>
      </c>
    </row>
    <row r="6" spans="1:2" x14ac:dyDescent="0.25">
      <c r="A6" s="6" t="s">
        <v>14</v>
      </c>
      <c r="B6" s="9">
        <v>18647974</v>
      </c>
    </row>
    <row r="7" spans="1:2" x14ac:dyDescent="0.25">
      <c r="A7" s="6" t="s">
        <v>11</v>
      </c>
      <c r="B7" s="9">
        <v>24860466</v>
      </c>
    </row>
    <row r="8" spans="1:2" x14ac:dyDescent="0.25">
      <c r="A8" s="6" t="s">
        <v>39</v>
      </c>
      <c r="B8" s="9">
        <v>89276084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D38E8C-3481-4B80-946F-B0E424BDA6A1}">
  <dimension ref="A3:B7"/>
  <sheetViews>
    <sheetView workbookViewId="0">
      <selection activeCell="H21" sqref="H21"/>
    </sheetView>
  </sheetViews>
  <sheetFormatPr defaultRowHeight="15" x14ac:dyDescent="0.25"/>
  <cols>
    <col min="1" max="1" width="13.140625" bestFit="1" customWidth="1"/>
    <col min="2" max="2" width="12.140625" bestFit="1" customWidth="1"/>
  </cols>
  <sheetData>
    <row r="3" spans="1:2" x14ac:dyDescent="0.25">
      <c r="A3" s="5" t="s">
        <v>38</v>
      </c>
      <c r="B3" t="s">
        <v>50</v>
      </c>
    </row>
    <row r="4" spans="1:2" x14ac:dyDescent="0.25">
      <c r="A4" s="6" t="s">
        <v>26</v>
      </c>
      <c r="B4" s="9">
        <v>7638060</v>
      </c>
    </row>
    <row r="5" spans="1:2" x14ac:dyDescent="0.25">
      <c r="A5" s="6" t="s">
        <v>25</v>
      </c>
      <c r="B5" s="9">
        <v>62626867</v>
      </c>
    </row>
    <row r="6" spans="1:2" x14ac:dyDescent="0.25">
      <c r="A6" s="6" t="s">
        <v>24</v>
      </c>
      <c r="B6" s="9">
        <v>19011157</v>
      </c>
    </row>
    <row r="7" spans="1:2" x14ac:dyDescent="0.25">
      <c r="A7" s="6" t="s">
        <v>39</v>
      </c>
      <c r="B7" s="9">
        <v>89276084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7E956F-A4A4-4A1C-8166-9783C027A9BE}">
  <dimension ref="A3:B17"/>
  <sheetViews>
    <sheetView workbookViewId="0">
      <selection activeCell="A8" sqref="A8"/>
    </sheetView>
  </sheetViews>
  <sheetFormatPr defaultRowHeight="15" x14ac:dyDescent="0.25"/>
  <cols>
    <col min="1" max="1" width="15" bestFit="1" customWidth="1"/>
    <col min="2" max="2" width="12.140625" bestFit="1" customWidth="1"/>
  </cols>
  <sheetData>
    <row r="3" spans="1:2" x14ac:dyDescent="0.25">
      <c r="A3" s="5" t="s">
        <v>38</v>
      </c>
      <c r="B3" t="s">
        <v>50</v>
      </c>
    </row>
    <row r="4" spans="1:2" x14ac:dyDescent="0.25">
      <c r="A4" s="6" t="s">
        <v>17</v>
      </c>
      <c r="B4" s="7">
        <v>13706843</v>
      </c>
    </row>
    <row r="5" spans="1:2" x14ac:dyDescent="0.25">
      <c r="A5" s="6" t="s">
        <v>19</v>
      </c>
      <c r="B5" s="7">
        <v>12019421</v>
      </c>
    </row>
    <row r="6" spans="1:2" x14ac:dyDescent="0.25">
      <c r="A6" s="6" t="s">
        <v>22</v>
      </c>
      <c r="B6" s="7">
        <v>10844992</v>
      </c>
    </row>
    <row r="7" spans="1:2" x14ac:dyDescent="0.25">
      <c r="A7" s="6" t="s">
        <v>21</v>
      </c>
      <c r="B7" s="7">
        <v>10189264</v>
      </c>
    </row>
    <row r="8" spans="1:2" x14ac:dyDescent="0.25">
      <c r="A8" s="6" t="s">
        <v>18</v>
      </c>
      <c r="B8" s="7">
        <v>9764060</v>
      </c>
    </row>
    <row r="9" spans="1:2" x14ac:dyDescent="0.25">
      <c r="A9" s="6" t="s">
        <v>15</v>
      </c>
      <c r="B9" s="7">
        <v>9247097</v>
      </c>
    </row>
    <row r="10" spans="1:2" x14ac:dyDescent="0.25">
      <c r="A10" s="8" t="s">
        <v>24</v>
      </c>
      <c r="B10" s="7">
        <v>9247097</v>
      </c>
    </row>
    <row r="11" spans="1:2" x14ac:dyDescent="0.25">
      <c r="A11" s="6" t="s">
        <v>20</v>
      </c>
      <c r="B11" s="7">
        <v>8863357</v>
      </c>
    </row>
    <row r="12" spans="1:2" x14ac:dyDescent="0.25">
      <c r="A12" s="8" t="s">
        <v>25</v>
      </c>
      <c r="B12" s="7">
        <v>8863357</v>
      </c>
    </row>
    <row r="13" spans="1:2" x14ac:dyDescent="0.25">
      <c r="A13" s="6" t="s">
        <v>23</v>
      </c>
      <c r="B13" s="7">
        <v>7638060</v>
      </c>
    </row>
    <row r="14" spans="1:2" x14ac:dyDescent="0.25">
      <c r="A14" s="8" t="s">
        <v>26</v>
      </c>
      <c r="B14" s="7">
        <v>7638060</v>
      </c>
    </row>
    <row r="15" spans="1:2" x14ac:dyDescent="0.25">
      <c r="A15" s="6" t="s">
        <v>16</v>
      </c>
      <c r="B15" s="7">
        <v>7002990</v>
      </c>
    </row>
    <row r="16" spans="1:2" x14ac:dyDescent="0.25">
      <c r="A16" s="8" t="s">
        <v>25</v>
      </c>
      <c r="B16" s="7">
        <v>7002990</v>
      </c>
    </row>
    <row r="17" spans="1:2" x14ac:dyDescent="0.25">
      <c r="A17" s="6" t="s">
        <v>39</v>
      </c>
      <c r="B17" s="7">
        <v>89276084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67908-F707-49BC-BCBF-1BF138080061}">
  <dimension ref="A3:C14"/>
  <sheetViews>
    <sheetView workbookViewId="0">
      <selection activeCell="O7" sqref="O7"/>
    </sheetView>
  </sheetViews>
  <sheetFormatPr defaultRowHeight="15" x14ac:dyDescent="0.25"/>
  <cols>
    <col min="1" max="1" width="13.140625" bestFit="1" customWidth="1"/>
    <col min="2" max="2" width="12.140625" bestFit="1" customWidth="1"/>
    <col min="3" max="3" width="12.5703125" bestFit="1" customWidth="1"/>
  </cols>
  <sheetData>
    <row r="3" spans="1:3" x14ac:dyDescent="0.25">
      <c r="A3" s="5" t="s">
        <v>38</v>
      </c>
      <c r="B3" t="s">
        <v>50</v>
      </c>
      <c r="C3" t="s">
        <v>51</v>
      </c>
    </row>
    <row r="4" spans="1:3" x14ac:dyDescent="0.25">
      <c r="A4" s="6" t="s">
        <v>40</v>
      </c>
      <c r="B4" s="7">
        <v>9606976</v>
      </c>
      <c r="C4" s="7">
        <v>2626468</v>
      </c>
    </row>
    <row r="5" spans="1:3" x14ac:dyDescent="0.25">
      <c r="A5" s="6" t="s">
        <v>41</v>
      </c>
      <c r="B5" s="7">
        <v>8328924</v>
      </c>
      <c r="C5" s="7">
        <v>2153736</v>
      </c>
    </row>
    <row r="6" spans="1:3" x14ac:dyDescent="0.25">
      <c r="A6" s="6" t="s">
        <v>42</v>
      </c>
      <c r="B6" s="7">
        <v>9143639</v>
      </c>
      <c r="C6" s="7">
        <v>2228130</v>
      </c>
    </row>
    <row r="7" spans="1:3" x14ac:dyDescent="0.25">
      <c r="A7" s="6" t="s">
        <v>43</v>
      </c>
      <c r="B7" s="7">
        <v>9935655</v>
      </c>
      <c r="C7" s="7">
        <v>2036563</v>
      </c>
    </row>
    <row r="8" spans="1:3" x14ac:dyDescent="0.25">
      <c r="A8" s="6" t="s">
        <v>44</v>
      </c>
      <c r="B8" s="7">
        <v>6469852</v>
      </c>
      <c r="C8" s="7">
        <v>1626542</v>
      </c>
    </row>
    <row r="9" spans="1:3" x14ac:dyDescent="0.25">
      <c r="A9" s="6" t="s">
        <v>45</v>
      </c>
      <c r="B9" s="7">
        <v>8098535</v>
      </c>
      <c r="C9" s="7">
        <v>1890377</v>
      </c>
    </row>
    <row r="10" spans="1:3" x14ac:dyDescent="0.25">
      <c r="A10" s="6" t="s">
        <v>46</v>
      </c>
      <c r="B10" s="7">
        <v>8520088</v>
      </c>
      <c r="C10" s="7">
        <v>2209846</v>
      </c>
    </row>
    <row r="11" spans="1:3" x14ac:dyDescent="0.25">
      <c r="A11" s="6" t="s">
        <v>47</v>
      </c>
      <c r="B11" s="7">
        <v>12530544</v>
      </c>
      <c r="C11" s="7">
        <v>2683571</v>
      </c>
    </row>
    <row r="12" spans="1:3" x14ac:dyDescent="0.25">
      <c r="A12" s="6" t="s">
        <v>48</v>
      </c>
      <c r="B12" s="7">
        <v>8388330</v>
      </c>
      <c r="C12" s="7">
        <v>1959376</v>
      </c>
    </row>
    <row r="13" spans="1:3" x14ac:dyDescent="0.25">
      <c r="A13" s="6" t="s">
        <v>49</v>
      </c>
      <c r="B13" s="7">
        <v>8253541</v>
      </c>
      <c r="C13" s="7">
        <v>2129240</v>
      </c>
    </row>
    <row r="14" spans="1:3" x14ac:dyDescent="0.25">
      <c r="A14" s="6" t="s">
        <v>39</v>
      </c>
      <c r="B14" s="7">
        <v>89276084</v>
      </c>
      <c r="C14" s="7">
        <v>21543849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25E21-E4A1-47E9-AD61-FCEE3783E9FA}">
  <dimension ref="A1"/>
  <sheetViews>
    <sheetView showGridLines="0" showRowColHeaders="0" zoomScale="62" zoomScaleNormal="62" workbookViewId="0">
      <selection activeCell="U63" sqref="U63"/>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301"/>
  <sheetViews>
    <sheetView topLeftCell="B1" workbookViewId="0">
      <selection activeCell="Q7" sqref="Q7"/>
    </sheetView>
  </sheetViews>
  <sheetFormatPr defaultRowHeight="15" x14ac:dyDescent="0.25"/>
  <cols>
    <col min="1" max="1" width="10.5703125" customWidth="1"/>
    <col min="2" max="2" width="10.42578125" bestFit="1" customWidth="1"/>
    <col min="3" max="3" width="9.28515625" customWidth="1"/>
    <col min="4" max="4" width="12.140625" bestFit="1" customWidth="1"/>
    <col min="5" max="5" width="11.28515625" bestFit="1" customWidth="1"/>
    <col min="6" max="6" width="11.7109375" customWidth="1"/>
    <col min="7" max="7" width="6.28515625" customWidth="1"/>
    <col min="8" max="8" width="11.85546875" customWidth="1"/>
    <col min="9" max="9" width="8.140625" customWidth="1"/>
    <col min="10" max="10" width="8" bestFit="1" customWidth="1"/>
    <col min="11" max="11" width="8.140625" customWidth="1"/>
    <col min="12" max="12" width="17.7109375" bestFit="1" customWidth="1"/>
    <col min="14" max="14" width="22.5703125" bestFit="1" customWidth="1"/>
    <col min="17" max="17" width="17.42578125" bestFit="1" customWidth="1"/>
  </cols>
  <sheetData>
    <row r="1" spans="1:17" x14ac:dyDescent="0.25">
      <c r="A1" s="2" t="s">
        <v>0</v>
      </c>
      <c r="B1" s="2" t="s">
        <v>1</v>
      </c>
      <c r="C1" s="2" t="s">
        <v>2</v>
      </c>
      <c r="D1" s="2" t="s">
        <v>3</v>
      </c>
      <c r="E1" s="2" t="s">
        <v>4</v>
      </c>
      <c r="F1" s="2" t="s">
        <v>5</v>
      </c>
      <c r="G1" s="2" t="s">
        <v>6</v>
      </c>
      <c r="H1" s="2" t="s">
        <v>7</v>
      </c>
      <c r="I1" s="2" t="s">
        <v>8</v>
      </c>
      <c r="J1" s="2" t="s">
        <v>9</v>
      </c>
      <c r="K1" s="2" t="s">
        <v>10</v>
      </c>
      <c r="L1" s="2" t="s">
        <v>37</v>
      </c>
    </row>
    <row r="2" spans="1:17" x14ac:dyDescent="0.25">
      <c r="A2">
        <v>2001</v>
      </c>
      <c r="B2" s="1">
        <v>45292</v>
      </c>
      <c r="C2" t="s">
        <v>11</v>
      </c>
      <c r="D2" t="s">
        <v>15</v>
      </c>
      <c r="E2" t="s">
        <v>24</v>
      </c>
      <c r="F2" t="s">
        <v>27</v>
      </c>
      <c r="G2">
        <v>11</v>
      </c>
      <c r="H2">
        <v>16295</v>
      </c>
      <c r="I2">
        <v>14424</v>
      </c>
      <c r="J2">
        <v>179245</v>
      </c>
      <c r="K2">
        <v>20581</v>
      </c>
      <c r="L2" s="4">
        <f t="shared" ref="L2:L65" si="0">(K2/J2)</f>
        <v>0.11482049708499539</v>
      </c>
    </row>
    <row r="3" spans="1:17" x14ac:dyDescent="0.25">
      <c r="A3">
        <v>2002</v>
      </c>
      <c r="B3" s="1">
        <v>45293</v>
      </c>
      <c r="C3" t="s">
        <v>12</v>
      </c>
      <c r="D3" t="s">
        <v>16</v>
      </c>
      <c r="E3" t="s">
        <v>25</v>
      </c>
      <c r="F3" t="s">
        <v>27</v>
      </c>
      <c r="G3">
        <v>11</v>
      </c>
      <c r="H3">
        <v>55386</v>
      </c>
      <c r="I3">
        <v>40639</v>
      </c>
      <c r="J3">
        <v>609246</v>
      </c>
      <c r="K3">
        <v>162217</v>
      </c>
      <c r="L3" s="4">
        <f t="shared" si="0"/>
        <v>0.26625862131224498</v>
      </c>
    </row>
    <row r="4" spans="1:17" x14ac:dyDescent="0.25">
      <c r="A4">
        <v>2003</v>
      </c>
      <c r="B4" s="1">
        <v>45294</v>
      </c>
      <c r="C4" t="s">
        <v>11</v>
      </c>
      <c r="D4" t="s">
        <v>17</v>
      </c>
      <c r="E4" t="s">
        <v>25</v>
      </c>
      <c r="F4" t="s">
        <v>28</v>
      </c>
      <c r="G4">
        <v>2</v>
      </c>
      <c r="H4">
        <v>16523</v>
      </c>
      <c r="I4">
        <v>13140</v>
      </c>
      <c r="J4">
        <v>33046</v>
      </c>
      <c r="K4">
        <v>6766</v>
      </c>
      <c r="L4" s="4">
        <f t="shared" si="0"/>
        <v>0.20474490104702536</v>
      </c>
    </row>
    <row r="5" spans="1:17" x14ac:dyDescent="0.25">
      <c r="A5">
        <v>2004</v>
      </c>
      <c r="B5" s="1">
        <v>45295</v>
      </c>
      <c r="C5" t="s">
        <v>11</v>
      </c>
      <c r="D5" t="s">
        <v>18</v>
      </c>
      <c r="E5" t="s">
        <v>24</v>
      </c>
      <c r="F5" t="s">
        <v>29</v>
      </c>
      <c r="G5">
        <v>1</v>
      </c>
      <c r="H5">
        <v>2933</v>
      </c>
      <c r="I5">
        <v>1919</v>
      </c>
      <c r="J5">
        <v>2933</v>
      </c>
      <c r="K5">
        <v>1014</v>
      </c>
      <c r="L5" s="4">
        <f t="shared" si="0"/>
        <v>0.34572110467098532</v>
      </c>
    </row>
    <row r="6" spans="1:17" x14ac:dyDescent="0.25">
      <c r="A6">
        <v>2005</v>
      </c>
      <c r="B6" s="1">
        <v>45296</v>
      </c>
      <c r="C6" t="s">
        <v>12</v>
      </c>
      <c r="D6" t="s">
        <v>18</v>
      </c>
      <c r="E6" t="s">
        <v>24</v>
      </c>
      <c r="F6" t="s">
        <v>30</v>
      </c>
      <c r="G6">
        <v>17</v>
      </c>
      <c r="H6">
        <v>6896</v>
      </c>
      <c r="I6">
        <v>5031</v>
      </c>
      <c r="J6">
        <v>117232</v>
      </c>
      <c r="K6">
        <v>31705</v>
      </c>
      <c r="L6" s="4">
        <f t="shared" si="0"/>
        <v>0.27044663573085848</v>
      </c>
      <c r="N6" s="3" t="s">
        <v>32</v>
      </c>
      <c r="Q6" s="3" t="s">
        <v>36</v>
      </c>
    </row>
    <row r="7" spans="1:17" x14ac:dyDescent="0.25">
      <c r="A7">
        <v>2006</v>
      </c>
      <c r="B7" s="1">
        <v>45297</v>
      </c>
      <c r="C7" t="s">
        <v>13</v>
      </c>
      <c r="D7" t="s">
        <v>19</v>
      </c>
      <c r="E7" t="s">
        <v>25</v>
      </c>
      <c r="F7" t="s">
        <v>30</v>
      </c>
      <c r="G7">
        <v>3</v>
      </c>
      <c r="H7">
        <v>2399</v>
      </c>
      <c r="I7">
        <v>1809</v>
      </c>
      <c r="J7">
        <v>7197</v>
      </c>
      <c r="K7">
        <v>1770</v>
      </c>
      <c r="L7" s="4">
        <f t="shared" si="0"/>
        <v>0.24593580658607753</v>
      </c>
      <c r="N7" s="10">
        <f>SUM(Table1[Sales])</f>
        <v>89276084</v>
      </c>
      <c r="Q7">
        <f>COUNTA(Table1[Order ID])</f>
        <v>300</v>
      </c>
    </row>
    <row r="8" spans="1:17" x14ac:dyDescent="0.25">
      <c r="A8">
        <v>2007</v>
      </c>
      <c r="B8" s="1">
        <v>45298</v>
      </c>
      <c r="C8" t="s">
        <v>11</v>
      </c>
      <c r="D8" t="s">
        <v>15</v>
      </c>
      <c r="E8" t="s">
        <v>24</v>
      </c>
      <c r="F8" t="s">
        <v>31</v>
      </c>
      <c r="G8">
        <v>18</v>
      </c>
      <c r="H8">
        <v>31240</v>
      </c>
      <c r="I8">
        <v>22966</v>
      </c>
      <c r="J8">
        <v>562320</v>
      </c>
      <c r="K8">
        <v>148932</v>
      </c>
      <c r="L8" s="4">
        <f t="shared" si="0"/>
        <v>0.26485275288092192</v>
      </c>
    </row>
    <row r="9" spans="1:17" x14ac:dyDescent="0.25">
      <c r="A9">
        <v>2008</v>
      </c>
      <c r="B9" s="1">
        <v>45299</v>
      </c>
      <c r="C9" t="s">
        <v>11</v>
      </c>
      <c r="D9" t="s">
        <v>20</v>
      </c>
      <c r="E9" t="s">
        <v>25</v>
      </c>
      <c r="F9" t="s">
        <v>28</v>
      </c>
      <c r="G9">
        <v>2</v>
      </c>
      <c r="H9">
        <v>43501</v>
      </c>
      <c r="I9">
        <v>30075</v>
      </c>
      <c r="J9">
        <v>87002</v>
      </c>
      <c r="K9">
        <v>26852</v>
      </c>
      <c r="L9" s="4">
        <f t="shared" si="0"/>
        <v>0.30863658306705594</v>
      </c>
    </row>
    <row r="10" spans="1:17" x14ac:dyDescent="0.25">
      <c r="A10">
        <v>2009</v>
      </c>
      <c r="B10" s="1">
        <v>45300</v>
      </c>
      <c r="C10" t="s">
        <v>12</v>
      </c>
      <c r="D10" t="s">
        <v>15</v>
      </c>
      <c r="E10" t="s">
        <v>24</v>
      </c>
      <c r="F10" t="s">
        <v>31</v>
      </c>
      <c r="G10">
        <v>15</v>
      </c>
      <c r="H10">
        <v>49055</v>
      </c>
      <c r="I10">
        <v>36720</v>
      </c>
      <c r="J10">
        <v>735825</v>
      </c>
      <c r="K10">
        <v>185025</v>
      </c>
      <c r="L10" s="4">
        <f t="shared" si="0"/>
        <v>0.25145245133013966</v>
      </c>
      <c r="N10" s="3" t="s">
        <v>33</v>
      </c>
    </row>
    <row r="11" spans="1:17" x14ac:dyDescent="0.25">
      <c r="A11">
        <v>2010</v>
      </c>
      <c r="B11" s="1">
        <v>45301</v>
      </c>
      <c r="C11" t="s">
        <v>14</v>
      </c>
      <c r="D11" t="s">
        <v>17</v>
      </c>
      <c r="E11" t="s">
        <v>25</v>
      </c>
      <c r="F11" t="s">
        <v>29</v>
      </c>
      <c r="G11">
        <v>2</v>
      </c>
      <c r="H11">
        <v>2085</v>
      </c>
      <c r="I11">
        <v>1665</v>
      </c>
      <c r="J11">
        <v>4170</v>
      </c>
      <c r="K11">
        <v>840</v>
      </c>
      <c r="L11" s="4">
        <f t="shared" si="0"/>
        <v>0.20143884892086331</v>
      </c>
      <c r="N11" s="10">
        <f>SUM(Table1[Profit])</f>
        <v>21543849</v>
      </c>
    </row>
    <row r="12" spans="1:17" x14ac:dyDescent="0.25">
      <c r="A12">
        <v>2011</v>
      </c>
      <c r="B12" s="1">
        <v>45302</v>
      </c>
      <c r="C12" t="s">
        <v>14</v>
      </c>
      <c r="D12" t="s">
        <v>17</v>
      </c>
      <c r="E12" t="s">
        <v>25</v>
      </c>
      <c r="F12" t="s">
        <v>28</v>
      </c>
      <c r="G12">
        <v>18</v>
      </c>
      <c r="H12">
        <v>41257</v>
      </c>
      <c r="I12">
        <v>25141</v>
      </c>
      <c r="J12">
        <v>742626</v>
      </c>
      <c r="K12">
        <v>290088</v>
      </c>
      <c r="L12" s="4">
        <f t="shared" si="0"/>
        <v>0.39062462127638947</v>
      </c>
      <c r="Q12" s="3" t="s">
        <v>37</v>
      </c>
    </row>
    <row r="13" spans="1:17" x14ac:dyDescent="0.25">
      <c r="A13">
        <v>2012</v>
      </c>
      <c r="B13" s="1">
        <v>45303</v>
      </c>
      <c r="C13" t="s">
        <v>12</v>
      </c>
      <c r="D13" t="s">
        <v>20</v>
      </c>
      <c r="E13" t="s">
        <v>25</v>
      </c>
      <c r="F13" t="s">
        <v>28</v>
      </c>
      <c r="G13">
        <v>14</v>
      </c>
      <c r="H13">
        <v>37565</v>
      </c>
      <c r="I13">
        <v>32623</v>
      </c>
      <c r="J13">
        <v>525910</v>
      </c>
      <c r="K13">
        <v>69188</v>
      </c>
      <c r="L13" s="4">
        <f t="shared" si="0"/>
        <v>0.13155863170504459</v>
      </c>
      <c r="N13" s="3" t="s">
        <v>34</v>
      </c>
      <c r="Q13" s="4">
        <f>(N11/N7)*100%</f>
        <v>0.24131713707335103</v>
      </c>
    </row>
    <row r="14" spans="1:17" x14ac:dyDescent="0.25">
      <c r="A14">
        <v>2013</v>
      </c>
      <c r="B14" s="1">
        <v>45304</v>
      </c>
      <c r="C14" t="s">
        <v>13</v>
      </c>
      <c r="D14" t="s">
        <v>21</v>
      </c>
      <c r="E14" t="s">
        <v>25</v>
      </c>
      <c r="F14" t="s">
        <v>29</v>
      </c>
      <c r="G14">
        <v>16</v>
      </c>
      <c r="H14">
        <v>24753</v>
      </c>
      <c r="I14">
        <v>17267</v>
      </c>
      <c r="J14">
        <v>396048</v>
      </c>
      <c r="K14">
        <v>119776</v>
      </c>
      <c r="L14" s="4">
        <f t="shared" si="0"/>
        <v>0.30242798852664321</v>
      </c>
      <c r="N14" s="10">
        <f>SUM(Table1[Qty])</f>
        <v>3109</v>
      </c>
    </row>
    <row r="15" spans="1:17" x14ac:dyDescent="0.25">
      <c r="A15">
        <v>2014</v>
      </c>
      <c r="B15" s="1">
        <v>45305</v>
      </c>
      <c r="C15" t="s">
        <v>13</v>
      </c>
      <c r="D15" t="s">
        <v>16</v>
      </c>
      <c r="E15" t="s">
        <v>25</v>
      </c>
      <c r="F15" t="s">
        <v>27</v>
      </c>
      <c r="G15">
        <v>13</v>
      </c>
      <c r="H15">
        <v>21771</v>
      </c>
      <c r="I15">
        <v>15392</v>
      </c>
      <c r="J15">
        <v>283023</v>
      </c>
      <c r="K15">
        <v>82927</v>
      </c>
      <c r="L15" s="4">
        <f t="shared" si="0"/>
        <v>0.29300445546828352</v>
      </c>
    </row>
    <row r="16" spans="1:17" x14ac:dyDescent="0.25">
      <c r="A16">
        <v>2015</v>
      </c>
      <c r="B16" s="1">
        <v>45306</v>
      </c>
      <c r="C16" t="s">
        <v>11</v>
      </c>
      <c r="D16" t="s">
        <v>22</v>
      </c>
      <c r="E16" t="s">
        <v>25</v>
      </c>
      <c r="F16" t="s">
        <v>30</v>
      </c>
      <c r="G16">
        <v>1</v>
      </c>
      <c r="H16">
        <v>49484</v>
      </c>
      <c r="I16">
        <v>44340</v>
      </c>
      <c r="J16">
        <v>49484</v>
      </c>
      <c r="K16">
        <v>5144</v>
      </c>
      <c r="L16" s="4">
        <f t="shared" si="0"/>
        <v>0.10395279282192224</v>
      </c>
      <c r="N16" s="3" t="s">
        <v>35</v>
      </c>
    </row>
    <row r="17" spans="1:14" x14ac:dyDescent="0.25">
      <c r="A17">
        <v>2016</v>
      </c>
      <c r="B17" s="1">
        <v>45307</v>
      </c>
      <c r="C17" t="s">
        <v>13</v>
      </c>
      <c r="D17" t="s">
        <v>19</v>
      </c>
      <c r="E17" t="s">
        <v>25</v>
      </c>
      <c r="F17" t="s">
        <v>30</v>
      </c>
      <c r="G17">
        <v>3</v>
      </c>
      <c r="H17">
        <v>40004</v>
      </c>
      <c r="I17">
        <v>32539</v>
      </c>
      <c r="J17">
        <v>120012</v>
      </c>
      <c r="K17">
        <v>22395</v>
      </c>
      <c r="L17" s="4">
        <f t="shared" si="0"/>
        <v>0.18660633936606338</v>
      </c>
      <c r="N17" s="10">
        <f>AVERAGE(Table1[Sales])</f>
        <v>297586.94666666666</v>
      </c>
    </row>
    <row r="18" spans="1:14" x14ac:dyDescent="0.25">
      <c r="A18">
        <v>2017</v>
      </c>
      <c r="B18" s="1">
        <v>45308</v>
      </c>
      <c r="C18" t="s">
        <v>11</v>
      </c>
      <c r="D18" t="s">
        <v>16</v>
      </c>
      <c r="E18" t="s">
        <v>25</v>
      </c>
      <c r="F18" t="s">
        <v>31</v>
      </c>
      <c r="G18">
        <v>9</v>
      </c>
      <c r="H18">
        <v>4061</v>
      </c>
      <c r="I18">
        <v>2873</v>
      </c>
      <c r="J18">
        <v>36549</v>
      </c>
      <c r="K18">
        <v>10692</v>
      </c>
      <c r="L18" s="4">
        <f t="shared" si="0"/>
        <v>0.29253878355084956</v>
      </c>
    </row>
    <row r="19" spans="1:14" x14ac:dyDescent="0.25">
      <c r="A19">
        <v>2018</v>
      </c>
      <c r="B19" s="1">
        <v>45309</v>
      </c>
      <c r="C19" t="s">
        <v>12</v>
      </c>
      <c r="D19" t="s">
        <v>23</v>
      </c>
      <c r="E19" t="s">
        <v>26</v>
      </c>
      <c r="F19" t="s">
        <v>27</v>
      </c>
      <c r="G19">
        <v>16</v>
      </c>
      <c r="H19">
        <v>13567</v>
      </c>
      <c r="I19">
        <v>9486</v>
      </c>
      <c r="J19">
        <v>217072</v>
      </c>
      <c r="K19">
        <v>65296</v>
      </c>
      <c r="L19" s="4">
        <f t="shared" si="0"/>
        <v>0.30080342006338912</v>
      </c>
    </row>
    <row r="20" spans="1:14" x14ac:dyDescent="0.25">
      <c r="A20">
        <v>2019</v>
      </c>
      <c r="B20" s="1">
        <v>45310</v>
      </c>
      <c r="C20" t="s">
        <v>13</v>
      </c>
      <c r="D20" t="s">
        <v>19</v>
      </c>
      <c r="E20" t="s">
        <v>25</v>
      </c>
      <c r="F20" t="s">
        <v>30</v>
      </c>
      <c r="G20">
        <v>3</v>
      </c>
      <c r="H20">
        <v>19615</v>
      </c>
      <c r="I20">
        <v>15520</v>
      </c>
      <c r="J20">
        <v>58845</v>
      </c>
      <c r="K20">
        <v>12285</v>
      </c>
      <c r="L20" s="4">
        <f t="shared" si="0"/>
        <v>0.20876879938822329</v>
      </c>
    </row>
    <row r="21" spans="1:14" x14ac:dyDescent="0.25">
      <c r="A21">
        <v>2020</v>
      </c>
      <c r="B21" s="1">
        <v>45311</v>
      </c>
      <c r="C21" t="s">
        <v>13</v>
      </c>
      <c r="D21" t="s">
        <v>16</v>
      </c>
      <c r="E21" t="s">
        <v>25</v>
      </c>
      <c r="F21" t="s">
        <v>29</v>
      </c>
      <c r="G21">
        <v>1</v>
      </c>
      <c r="H21">
        <v>8610</v>
      </c>
      <c r="I21">
        <v>7008</v>
      </c>
      <c r="J21">
        <v>8610</v>
      </c>
      <c r="K21">
        <v>1602</v>
      </c>
      <c r="L21" s="4">
        <f t="shared" si="0"/>
        <v>0.18606271777003483</v>
      </c>
    </row>
    <row r="22" spans="1:14" x14ac:dyDescent="0.25">
      <c r="A22">
        <v>2021</v>
      </c>
      <c r="B22" s="1">
        <v>45312</v>
      </c>
      <c r="C22" t="s">
        <v>12</v>
      </c>
      <c r="D22" t="s">
        <v>15</v>
      </c>
      <c r="E22" t="s">
        <v>24</v>
      </c>
      <c r="F22" t="s">
        <v>29</v>
      </c>
      <c r="G22">
        <v>9</v>
      </c>
      <c r="H22">
        <v>7410</v>
      </c>
      <c r="I22">
        <v>5015</v>
      </c>
      <c r="J22">
        <v>66690</v>
      </c>
      <c r="K22">
        <v>21555</v>
      </c>
      <c r="L22" s="4">
        <f t="shared" si="0"/>
        <v>0.32321187584345479</v>
      </c>
    </row>
    <row r="23" spans="1:14" x14ac:dyDescent="0.25">
      <c r="A23">
        <v>2022</v>
      </c>
      <c r="B23" s="1">
        <v>45313</v>
      </c>
      <c r="C23" t="s">
        <v>11</v>
      </c>
      <c r="D23" t="s">
        <v>19</v>
      </c>
      <c r="E23" t="s">
        <v>25</v>
      </c>
      <c r="F23" t="s">
        <v>27</v>
      </c>
      <c r="G23">
        <v>17</v>
      </c>
      <c r="H23">
        <v>49202</v>
      </c>
      <c r="I23">
        <v>42743</v>
      </c>
      <c r="J23">
        <v>836434</v>
      </c>
      <c r="K23">
        <v>109803</v>
      </c>
      <c r="L23" s="4">
        <f t="shared" si="0"/>
        <v>0.13127515141660909</v>
      </c>
    </row>
    <row r="24" spans="1:14" x14ac:dyDescent="0.25">
      <c r="A24">
        <v>2023</v>
      </c>
      <c r="B24" s="1">
        <v>45314</v>
      </c>
      <c r="C24" t="s">
        <v>13</v>
      </c>
      <c r="D24" t="s">
        <v>17</v>
      </c>
      <c r="E24" t="s">
        <v>25</v>
      </c>
      <c r="F24" t="s">
        <v>30</v>
      </c>
      <c r="G24">
        <v>7</v>
      </c>
      <c r="H24">
        <v>18641</v>
      </c>
      <c r="I24">
        <v>11963</v>
      </c>
      <c r="J24">
        <v>130487</v>
      </c>
      <c r="K24">
        <v>46746</v>
      </c>
      <c r="L24" s="4">
        <f t="shared" si="0"/>
        <v>0.35824258355238453</v>
      </c>
    </row>
    <row r="25" spans="1:14" x14ac:dyDescent="0.25">
      <c r="A25">
        <v>2024</v>
      </c>
      <c r="B25" s="1">
        <v>45315</v>
      </c>
      <c r="C25" t="s">
        <v>14</v>
      </c>
      <c r="D25" t="s">
        <v>17</v>
      </c>
      <c r="E25" t="s">
        <v>25</v>
      </c>
      <c r="F25" t="s">
        <v>28</v>
      </c>
      <c r="G25">
        <v>19</v>
      </c>
      <c r="H25">
        <v>56320</v>
      </c>
      <c r="I25">
        <v>35092</v>
      </c>
      <c r="J25">
        <v>1070080</v>
      </c>
      <c r="K25">
        <v>403332</v>
      </c>
      <c r="L25" s="4">
        <f t="shared" si="0"/>
        <v>0.37691761363636361</v>
      </c>
    </row>
    <row r="26" spans="1:14" x14ac:dyDescent="0.25">
      <c r="A26">
        <v>2025</v>
      </c>
      <c r="B26" s="1">
        <v>45316</v>
      </c>
      <c r="C26" t="s">
        <v>11</v>
      </c>
      <c r="D26" t="s">
        <v>20</v>
      </c>
      <c r="E26" t="s">
        <v>25</v>
      </c>
      <c r="F26" t="s">
        <v>28</v>
      </c>
      <c r="G26">
        <v>6</v>
      </c>
      <c r="H26">
        <v>44189</v>
      </c>
      <c r="I26">
        <v>37226</v>
      </c>
      <c r="J26">
        <v>265134</v>
      </c>
      <c r="K26">
        <v>41778</v>
      </c>
      <c r="L26" s="4">
        <f t="shared" si="0"/>
        <v>0.15757315168933445</v>
      </c>
    </row>
    <row r="27" spans="1:14" x14ac:dyDescent="0.25">
      <c r="A27">
        <v>2026</v>
      </c>
      <c r="B27" s="1">
        <v>45317</v>
      </c>
      <c r="C27" t="s">
        <v>14</v>
      </c>
      <c r="D27" t="s">
        <v>17</v>
      </c>
      <c r="E27" t="s">
        <v>25</v>
      </c>
      <c r="F27" t="s">
        <v>31</v>
      </c>
      <c r="G27">
        <v>7</v>
      </c>
      <c r="H27">
        <v>49425</v>
      </c>
      <c r="I27">
        <v>42751</v>
      </c>
      <c r="J27">
        <v>345975</v>
      </c>
      <c r="K27">
        <v>46718</v>
      </c>
      <c r="L27" s="4">
        <f t="shared" si="0"/>
        <v>0.13503287809812847</v>
      </c>
    </row>
    <row r="28" spans="1:14" x14ac:dyDescent="0.25">
      <c r="A28">
        <v>2027</v>
      </c>
      <c r="B28" s="1">
        <v>45318</v>
      </c>
      <c r="C28" t="s">
        <v>13</v>
      </c>
      <c r="D28" t="s">
        <v>22</v>
      </c>
      <c r="E28" t="s">
        <v>25</v>
      </c>
      <c r="F28" t="s">
        <v>30</v>
      </c>
      <c r="G28">
        <v>13</v>
      </c>
      <c r="H28">
        <v>1806</v>
      </c>
      <c r="I28">
        <v>1315</v>
      </c>
      <c r="J28">
        <v>23478</v>
      </c>
      <c r="K28">
        <v>6383</v>
      </c>
      <c r="L28" s="4">
        <f t="shared" si="0"/>
        <v>0.2718715393133998</v>
      </c>
    </row>
    <row r="29" spans="1:14" x14ac:dyDescent="0.25">
      <c r="A29">
        <v>2028</v>
      </c>
      <c r="B29" s="1">
        <v>45319</v>
      </c>
      <c r="C29" t="s">
        <v>14</v>
      </c>
      <c r="D29" t="s">
        <v>15</v>
      </c>
      <c r="E29" t="s">
        <v>24</v>
      </c>
      <c r="F29" t="s">
        <v>27</v>
      </c>
      <c r="G29">
        <v>9</v>
      </c>
      <c r="H29">
        <v>58553</v>
      </c>
      <c r="I29">
        <v>44103</v>
      </c>
      <c r="J29">
        <v>526977</v>
      </c>
      <c r="K29">
        <v>130050</v>
      </c>
      <c r="L29" s="4">
        <f t="shared" si="0"/>
        <v>0.24678496404966441</v>
      </c>
    </row>
    <row r="30" spans="1:14" x14ac:dyDescent="0.25">
      <c r="A30">
        <v>2029</v>
      </c>
      <c r="B30" s="1">
        <v>45320</v>
      </c>
      <c r="C30" t="s">
        <v>12</v>
      </c>
      <c r="D30" t="s">
        <v>22</v>
      </c>
      <c r="E30" t="s">
        <v>25</v>
      </c>
      <c r="F30" t="s">
        <v>31</v>
      </c>
      <c r="G30">
        <v>15</v>
      </c>
      <c r="H30">
        <v>33062</v>
      </c>
      <c r="I30">
        <v>22509</v>
      </c>
      <c r="J30">
        <v>495930</v>
      </c>
      <c r="K30">
        <v>158295</v>
      </c>
      <c r="L30" s="4">
        <f t="shared" si="0"/>
        <v>0.31918819188191883</v>
      </c>
    </row>
    <row r="31" spans="1:14" x14ac:dyDescent="0.25">
      <c r="A31">
        <v>2030</v>
      </c>
      <c r="B31" s="1">
        <v>45321</v>
      </c>
      <c r="C31" t="s">
        <v>14</v>
      </c>
      <c r="D31" t="s">
        <v>17</v>
      </c>
      <c r="E31" t="s">
        <v>25</v>
      </c>
      <c r="F31" t="s">
        <v>29</v>
      </c>
      <c r="G31">
        <v>12</v>
      </c>
      <c r="H31">
        <v>54884</v>
      </c>
      <c r="I31">
        <v>33998</v>
      </c>
      <c r="J31">
        <v>658608</v>
      </c>
      <c r="K31">
        <v>250632</v>
      </c>
      <c r="L31" s="4">
        <f t="shared" si="0"/>
        <v>0.38054806500983895</v>
      </c>
    </row>
    <row r="32" spans="1:14" x14ac:dyDescent="0.25">
      <c r="A32">
        <v>2031</v>
      </c>
      <c r="B32" s="1">
        <v>45322</v>
      </c>
      <c r="C32" t="s">
        <v>12</v>
      </c>
      <c r="D32" t="s">
        <v>19</v>
      </c>
      <c r="E32" t="s">
        <v>25</v>
      </c>
      <c r="F32" t="s">
        <v>31</v>
      </c>
      <c r="G32">
        <v>17</v>
      </c>
      <c r="H32">
        <v>24164</v>
      </c>
      <c r="I32">
        <v>15571</v>
      </c>
      <c r="J32">
        <v>410788</v>
      </c>
      <c r="K32">
        <v>146081</v>
      </c>
      <c r="L32" s="4">
        <f t="shared" si="0"/>
        <v>0.35561165369971859</v>
      </c>
    </row>
    <row r="33" spans="1:12" x14ac:dyDescent="0.25">
      <c r="A33">
        <v>2032</v>
      </c>
      <c r="B33" s="1">
        <v>45323</v>
      </c>
      <c r="C33" t="s">
        <v>11</v>
      </c>
      <c r="D33" t="s">
        <v>20</v>
      </c>
      <c r="E33" t="s">
        <v>25</v>
      </c>
      <c r="F33" t="s">
        <v>31</v>
      </c>
      <c r="G33">
        <v>5</v>
      </c>
      <c r="H33">
        <v>38005</v>
      </c>
      <c r="I33">
        <v>27489</v>
      </c>
      <c r="J33">
        <v>190025</v>
      </c>
      <c r="K33">
        <v>52580</v>
      </c>
      <c r="L33" s="4">
        <f t="shared" si="0"/>
        <v>0.27670043415340084</v>
      </c>
    </row>
    <row r="34" spans="1:12" x14ac:dyDescent="0.25">
      <c r="A34">
        <v>2033</v>
      </c>
      <c r="B34" s="1">
        <v>45324</v>
      </c>
      <c r="C34" t="s">
        <v>14</v>
      </c>
      <c r="D34" t="s">
        <v>22</v>
      </c>
      <c r="E34" t="s">
        <v>25</v>
      </c>
      <c r="F34" t="s">
        <v>28</v>
      </c>
      <c r="G34">
        <v>12</v>
      </c>
      <c r="H34">
        <v>47217</v>
      </c>
      <c r="I34">
        <v>30382</v>
      </c>
      <c r="J34">
        <v>566604</v>
      </c>
      <c r="K34">
        <v>202020</v>
      </c>
      <c r="L34" s="4">
        <f t="shared" si="0"/>
        <v>0.35654531206980539</v>
      </c>
    </row>
    <row r="35" spans="1:12" x14ac:dyDescent="0.25">
      <c r="A35">
        <v>2034</v>
      </c>
      <c r="B35" s="1">
        <v>45325</v>
      </c>
      <c r="C35" t="s">
        <v>12</v>
      </c>
      <c r="D35" t="s">
        <v>15</v>
      </c>
      <c r="E35" t="s">
        <v>24</v>
      </c>
      <c r="F35" t="s">
        <v>27</v>
      </c>
      <c r="G35">
        <v>17</v>
      </c>
      <c r="H35">
        <v>33470</v>
      </c>
      <c r="I35">
        <v>23793</v>
      </c>
      <c r="J35">
        <v>568990</v>
      </c>
      <c r="K35">
        <v>164509</v>
      </c>
      <c r="L35" s="4">
        <f t="shared" si="0"/>
        <v>0.28912458918434419</v>
      </c>
    </row>
    <row r="36" spans="1:12" x14ac:dyDescent="0.25">
      <c r="A36">
        <v>2035</v>
      </c>
      <c r="B36" s="1">
        <v>45326</v>
      </c>
      <c r="C36" t="s">
        <v>12</v>
      </c>
      <c r="D36" t="s">
        <v>17</v>
      </c>
      <c r="E36" t="s">
        <v>25</v>
      </c>
      <c r="F36" t="s">
        <v>31</v>
      </c>
      <c r="G36">
        <v>11</v>
      </c>
      <c r="H36">
        <v>41045</v>
      </c>
      <c r="I36">
        <v>32427</v>
      </c>
      <c r="J36">
        <v>451495</v>
      </c>
      <c r="K36">
        <v>94798</v>
      </c>
      <c r="L36" s="4">
        <f t="shared" si="0"/>
        <v>0.2099646729199659</v>
      </c>
    </row>
    <row r="37" spans="1:12" x14ac:dyDescent="0.25">
      <c r="A37">
        <v>2036</v>
      </c>
      <c r="B37" s="1">
        <v>45327</v>
      </c>
      <c r="C37" t="s">
        <v>13</v>
      </c>
      <c r="D37" t="s">
        <v>21</v>
      </c>
      <c r="E37" t="s">
        <v>25</v>
      </c>
      <c r="F37" t="s">
        <v>30</v>
      </c>
      <c r="G37">
        <v>16</v>
      </c>
      <c r="H37">
        <v>42607</v>
      </c>
      <c r="I37">
        <v>32060</v>
      </c>
      <c r="J37">
        <v>681712</v>
      </c>
      <c r="K37">
        <v>168752</v>
      </c>
      <c r="L37" s="4">
        <f t="shared" si="0"/>
        <v>0.2475414837937428</v>
      </c>
    </row>
    <row r="38" spans="1:12" x14ac:dyDescent="0.25">
      <c r="A38">
        <v>2037</v>
      </c>
      <c r="B38" s="1">
        <v>45328</v>
      </c>
      <c r="C38" t="s">
        <v>14</v>
      </c>
      <c r="D38" t="s">
        <v>17</v>
      </c>
      <c r="E38" t="s">
        <v>25</v>
      </c>
      <c r="F38" t="s">
        <v>30</v>
      </c>
      <c r="G38">
        <v>19</v>
      </c>
      <c r="H38">
        <v>3311</v>
      </c>
      <c r="I38">
        <v>2659</v>
      </c>
      <c r="J38">
        <v>62909</v>
      </c>
      <c r="K38">
        <v>12388</v>
      </c>
      <c r="L38" s="4">
        <f t="shared" si="0"/>
        <v>0.19691935971005739</v>
      </c>
    </row>
    <row r="39" spans="1:12" x14ac:dyDescent="0.25">
      <c r="A39">
        <v>2038</v>
      </c>
      <c r="B39" s="1">
        <v>45329</v>
      </c>
      <c r="C39" t="s">
        <v>13</v>
      </c>
      <c r="D39" t="s">
        <v>19</v>
      </c>
      <c r="E39" t="s">
        <v>25</v>
      </c>
      <c r="F39" t="s">
        <v>29</v>
      </c>
      <c r="G39">
        <v>9</v>
      </c>
      <c r="H39">
        <v>11911</v>
      </c>
      <c r="I39">
        <v>9451</v>
      </c>
      <c r="J39">
        <v>107199</v>
      </c>
      <c r="K39">
        <v>22140</v>
      </c>
      <c r="L39" s="4">
        <f t="shared" si="0"/>
        <v>0.20653177734866929</v>
      </c>
    </row>
    <row r="40" spans="1:12" x14ac:dyDescent="0.25">
      <c r="A40">
        <v>2039</v>
      </c>
      <c r="B40" s="1">
        <v>45330</v>
      </c>
      <c r="C40" t="s">
        <v>12</v>
      </c>
      <c r="D40" t="s">
        <v>23</v>
      </c>
      <c r="E40" t="s">
        <v>26</v>
      </c>
      <c r="F40" t="s">
        <v>29</v>
      </c>
      <c r="G40">
        <v>18</v>
      </c>
      <c r="H40">
        <v>38004</v>
      </c>
      <c r="I40">
        <v>30506</v>
      </c>
      <c r="J40">
        <v>684072</v>
      </c>
      <c r="K40">
        <v>134964</v>
      </c>
      <c r="L40" s="4">
        <f t="shared" si="0"/>
        <v>0.19729502157667614</v>
      </c>
    </row>
    <row r="41" spans="1:12" x14ac:dyDescent="0.25">
      <c r="A41">
        <v>2040</v>
      </c>
      <c r="B41" s="1">
        <v>45331</v>
      </c>
      <c r="C41" t="s">
        <v>13</v>
      </c>
      <c r="D41" t="s">
        <v>19</v>
      </c>
      <c r="E41" t="s">
        <v>25</v>
      </c>
      <c r="F41" t="s">
        <v>28</v>
      </c>
      <c r="G41">
        <v>16</v>
      </c>
      <c r="H41">
        <v>17146</v>
      </c>
      <c r="I41">
        <v>13682</v>
      </c>
      <c r="J41">
        <v>274336</v>
      </c>
      <c r="K41">
        <v>55424</v>
      </c>
      <c r="L41" s="4">
        <f t="shared" si="0"/>
        <v>0.20202962790155138</v>
      </c>
    </row>
    <row r="42" spans="1:12" x14ac:dyDescent="0.25">
      <c r="A42">
        <v>2041</v>
      </c>
      <c r="B42" s="1">
        <v>45332</v>
      </c>
      <c r="C42" t="s">
        <v>13</v>
      </c>
      <c r="D42" t="s">
        <v>22</v>
      </c>
      <c r="E42" t="s">
        <v>25</v>
      </c>
      <c r="F42" t="s">
        <v>27</v>
      </c>
      <c r="G42">
        <v>12</v>
      </c>
      <c r="H42">
        <v>2549</v>
      </c>
      <c r="I42">
        <v>2291</v>
      </c>
      <c r="J42">
        <v>30588</v>
      </c>
      <c r="K42">
        <v>3096</v>
      </c>
      <c r="L42" s="4">
        <f t="shared" si="0"/>
        <v>0.1012161632012554</v>
      </c>
    </row>
    <row r="43" spans="1:12" x14ac:dyDescent="0.25">
      <c r="A43">
        <v>2042</v>
      </c>
      <c r="B43" s="1">
        <v>45333</v>
      </c>
      <c r="C43" t="s">
        <v>11</v>
      </c>
      <c r="D43" t="s">
        <v>15</v>
      </c>
      <c r="E43" t="s">
        <v>24</v>
      </c>
      <c r="F43" t="s">
        <v>30</v>
      </c>
      <c r="G43">
        <v>19</v>
      </c>
      <c r="H43">
        <v>43516</v>
      </c>
      <c r="I43">
        <v>29750</v>
      </c>
      <c r="J43">
        <v>826804</v>
      </c>
      <c r="K43">
        <v>261554</v>
      </c>
      <c r="L43" s="4">
        <f t="shared" si="0"/>
        <v>0.31634341391672027</v>
      </c>
    </row>
    <row r="44" spans="1:12" x14ac:dyDescent="0.25">
      <c r="A44">
        <v>2043</v>
      </c>
      <c r="B44" s="1">
        <v>45334</v>
      </c>
      <c r="C44" t="s">
        <v>11</v>
      </c>
      <c r="D44" t="s">
        <v>17</v>
      </c>
      <c r="E44" t="s">
        <v>25</v>
      </c>
      <c r="F44" t="s">
        <v>28</v>
      </c>
      <c r="G44">
        <v>1</v>
      </c>
      <c r="H44">
        <v>6795</v>
      </c>
      <c r="I44">
        <v>4901</v>
      </c>
      <c r="J44">
        <v>6795</v>
      </c>
      <c r="K44">
        <v>1894</v>
      </c>
      <c r="L44" s="4">
        <f t="shared" si="0"/>
        <v>0.27873436350257541</v>
      </c>
    </row>
    <row r="45" spans="1:12" x14ac:dyDescent="0.25">
      <c r="A45">
        <v>2044</v>
      </c>
      <c r="B45" s="1">
        <v>45335</v>
      </c>
      <c r="C45" t="s">
        <v>11</v>
      </c>
      <c r="D45" t="s">
        <v>22</v>
      </c>
      <c r="E45" t="s">
        <v>25</v>
      </c>
      <c r="F45" t="s">
        <v>30</v>
      </c>
      <c r="G45">
        <v>8</v>
      </c>
      <c r="H45">
        <v>33211</v>
      </c>
      <c r="I45">
        <v>27751</v>
      </c>
      <c r="J45">
        <v>265688</v>
      </c>
      <c r="K45">
        <v>43680</v>
      </c>
      <c r="L45" s="4">
        <f t="shared" si="0"/>
        <v>0.16440336033241998</v>
      </c>
    </row>
    <row r="46" spans="1:12" x14ac:dyDescent="0.25">
      <c r="A46">
        <v>2045</v>
      </c>
      <c r="B46" s="1">
        <v>45336</v>
      </c>
      <c r="C46" t="s">
        <v>11</v>
      </c>
      <c r="D46" t="s">
        <v>21</v>
      </c>
      <c r="E46" t="s">
        <v>25</v>
      </c>
      <c r="F46" t="s">
        <v>29</v>
      </c>
      <c r="G46">
        <v>18</v>
      </c>
      <c r="H46">
        <v>16982</v>
      </c>
      <c r="I46">
        <v>15149</v>
      </c>
      <c r="J46">
        <v>305676</v>
      </c>
      <c r="K46">
        <v>32994</v>
      </c>
      <c r="L46" s="4">
        <f t="shared" si="0"/>
        <v>0.10793781651160052</v>
      </c>
    </row>
    <row r="47" spans="1:12" x14ac:dyDescent="0.25">
      <c r="A47">
        <v>2046</v>
      </c>
      <c r="B47" s="1">
        <v>45337</v>
      </c>
      <c r="C47" t="s">
        <v>11</v>
      </c>
      <c r="D47" t="s">
        <v>20</v>
      </c>
      <c r="E47" t="s">
        <v>25</v>
      </c>
      <c r="F47" t="s">
        <v>31</v>
      </c>
      <c r="G47">
        <v>9</v>
      </c>
      <c r="H47">
        <v>3369</v>
      </c>
      <c r="I47">
        <v>2474</v>
      </c>
      <c r="J47">
        <v>30321</v>
      </c>
      <c r="K47">
        <v>8055</v>
      </c>
      <c r="L47" s="4">
        <f t="shared" si="0"/>
        <v>0.26565746512318195</v>
      </c>
    </row>
    <row r="48" spans="1:12" x14ac:dyDescent="0.25">
      <c r="A48">
        <v>2047</v>
      </c>
      <c r="B48" s="1">
        <v>45338</v>
      </c>
      <c r="C48" t="s">
        <v>11</v>
      </c>
      <c r="D48" t="s">
        <v>17</v>
      </c>
      <c r="E48" t="s">
        <v>25</v>
      </c>
      <c r="F48" t="s">
        <v>30</v>
      </c>
      <c r="G48">
        <v>16</v>
      </c>
      <c r="H48">
        <v>23828</v>
      </c>
      <c r="I48">
        <v>17827</v>
      </c>
      <c r="J48">
        <v>381248</v>
      </c>
      <c r="K48">
        <v>96016</v>
      </c>
      <c r="L48" s="4">
        <f t="shared" si="0"/>
        <v>0.25184656706395836</v>
      </c>
    </row>
    <row r="49" spans="1:12" x14ac:dyDescent="0.25">
      <c r="A49">
        <v>2048</v>
      </c>
      <c r="B49" s="1">
        <v>45339</v>
      </c>
      <c r="C49" t="s">
        <v>12</v>
      </c>
      <c r="D49" t="s">
        <v>22</v>
      </c>
      <c r="E49" t="s">
        <v>25</v>
      </c>
      <c r="F49" t="s">
        <v>30</v>
      </c>
      <c r="G49">
        <v>12</v>
      </c>
      <c r="H49">
        <v>5235</v>
      </c>
      <c r="I49">
        <v>4033</v>
      </c>
      <c r="J49">
        <v>62820</v>
      </c>
      <c r="K49">
        <v>14424</v>
      </c>
      <c r="L49" s="4">
        <f t="shared" si="0"/>
        <v>0.22960840496657114</v>
      </c>
    </row>
    <row r="50" spans="1:12" x14ac:dyDescent="0.25">
      <c r="A50">
        <v>2049</v>
      </c>
      <c r="B50" s="1">
        <v>45340</v>
      </c>
      <c r="C50" t="s">
        <v>14</v>
      </c>
      <c r="D50" t="s">
        <v>18</v>
      </c>
      <c r="E50" t="s">
        <v>24</v>
      </c>
      <c r="F50" t="s">
        <v>27</v>
      </c>
      <c r="G50">
        <v>6</v>
      </c>
      <c r="H50">
        <v>20330</v>
      </c>
      <c r="I50">
        <v>13725</v>
      </c>
      <c r="J50">
        <v>121980</v>
      </c>
      <c r="K50">
        <v>39630</v>
      </c>
      <c r="L50" s="4">
        <f t="shared" si="0"/>
        <v>0.32488932611903593</v>
      </c>
    </row>
    <row r="51" spans="1:12" x14ac:dyDescent="0.25">
      <c r="A51">
        <v>2050</v>
      </c>
      <c r="B51" s="1">
        <v>45341</v>
      </c>
      <c r="C51" t="s">
        <v>13</v>
      </c>
      <c r="D51" t="s">
        <v>19</v>
      </c>
      <c r="E51" t="s">
        <v>25</v>
      </c>
      <c r="F51" t="s">
        <v>31</v>
      </c>
      <c r="G51">
        <v>2</v>
      </c>
      <c r="H51">
        <v>11177</v>
      </c>
      <c r="I51">
        <v>9744</v>
      </c>
      <c r="J51">
        <v>22354</v>
      </c>
      <c r="K51">
        <v>2866</v>
      </c>
      <c r="L51" s="4">
        <f t="shared" si="0"/>
        <v>0.1282097163818556</v>
      </c>
    </row>
    <row r="52" spans="1:12" x14ac:dyDescent="0.25">
      <c r="A52">
        <v>2051</v>
      </c>
      <c r="B52" s="1">
        <v>45342</v>
      </c>
      <c r="C52" t="s">
        <v>12</v>
      </c>
      <c r="D52" t="s">
        <v>22</v>
      </c>
      <c r="E52" t="s">
        <v>25</v>
      </c>
      <c r="F52" t="s">
        <v>28</v>
      </c>
      <c r="G52">
        <v>16</v>
      </c>
      <c r="H52">
        <v>29624</v>
      </c>
      <c r="I52">
        <v>19820</v>
      </c>
      <c r="J52">
        <v>473984</v>
      </c>
      <c r="K52">
        <v>156864</v>
      </c>
      <c r="L52" s="4">
        <f t="shared" si="0"/>
        <v>0.33094788009721848</v>
      </c>
    </row>
    <row r="53" spans="1:12" x14ac:dyDescent="0.25">
      <c r="A53">
        <v>2052</v>
      </c>
      <c r="B53" s="1">
        <v>45343</v>
      </c>
      <c r="C53" t="s">
        <v>11</v>
      </c>
      <c r="D53" t="s">
        <v>19</v>
      </c>
      <c r="E53" t="s">
        <v>25</v>
      </c>
      <c r="F53" t="s">
        <v>27</v>
      </c>
      <c r="G53">
        <v>12</v>
      </c>
      <c r="H53">
        <v>44580</v>
      </c>
      <c r="I53">
        <v>27331</v>
      </c>
      <c r="J53">
        <v>534960</v>
      </c>
      <c r="K53">
        <v>206988</v>
      </c>
      <c r="L53" s="4">
        <f t="shared" si="0"/>
        <v>0.38692238672050244</v>
      </c>
    </row>
    <row r="54" spans="1:12" x14ac:dyDescent="0.25">
      <c r="A54">
        <v>2053</v>
      </c>
      <c r="B54" s="1">
        <v>45344</v>
      </c>
      <c r="C54" t="s">
        <v>13</v>
      </c>
      <c r="D54" t="s">
        <v>16</v>
      </c>
      <c r="E54" t="s">
        <v>25</v>
      </c>
      <c r="F54" t="s">
        <v>27</v>
      </c>
      <c r="G54">
        <v>9</v>
      </c>
      <c r="H54">
        <v>44025</v>
      </c>
      <c r="I54">
        <v>31303</v>
      </c>
      <c r="J54">
        <v>396225</v>
      </c>
      <c r="K54">
        <v>114498</v>
      </c>
      <c r="L54" s="4">
        <f t="shared" si="0"/>
        <v>0.28897217490062466</v>
      </c>
    </row>
    <row r="55" spans="1:12" x14ac:dyDescent="0.25">
      <c r="A55">
        <v>2054</v>
      </c>
      <c r="B55" s="1">
        <v>45345</v>
      </c>
      <c r="C55" t="s">
        <v>11</v>
      </c>
      <c r="D55" t="s">
        <v>22</v>
      </c>
      <c r="E55" t="s">
        <v>25</v>
      </c>
      <c r="F55" t="s">
        <v>31</v>
      </c>
      <c r="G55">
        <v>3</v>
      </c>
      <c r="H55">
        <v>801</v>
      </c>
      <c r="I55">
        <v>712</v>
      </c>
      <c r="J55">
        <v>2403</v>
      </c>
      <c r="K55">
        <v>267</v>
      </c>
      <c r="L55" s="4">
        <f t="shared" si="0"/>
        <v>0.1111111111111111</v>
      </c>
    </row>
    <row r="56" spans="1:12" x14ac:dyDescent="0.25">
      <c r="A56">
        <v>2055</v>
      </c>
      <c r="B56" s="1">
        <v>45346</v>
      </c>
      <c r="C56" t="s">
        <v>11</v>
      </c>
      <c r="D56" t="s">
        <v>17</v>
      </c>
      <c r="E56" t="s">
        <v>25</v>
      </c>
      <c r="F56" t="s">
        <v>30</v>
      </c>
      <c r="G56">
        <v>1</v>
      </c>
      <c r="H56">
        <v>690</v>
      </c>
      <c r="I56">
        <v>477</v>
      </c>
      <c r="J56">
        <v>690</v>
      </c>
      <c r="K56">
        <v>213</v>
      </c>
      <c r="L56" s="4">
        <f t="shared" si="0"/>
        <v>0.30869565217391304</v>
      </c>
    </row>
    <row r="57" spans="1:12" x14ac:dyDescent="0.25">
      <c r="A57">
        <v>2056</v>
      </c>
      <c r="B57" s="1">
        <v>45347</v>
      </c>
      <c r="C57" t="s">
        <v>11</v>
      </c>
      <c r="D57" t="s">
        <v>20</v>
      </c>
      <c r="E57" t="s">
        <v>25</v>
      </c>
      <c r="F57" t="s">
        <v>29</v>
      </c>
      <c r="G57">
        <v>3</v>
      </c>
      <c r="H57">
        <v>35084</v>
      </c>
      <c r="I57">
        <v>25204</v>
      </c>
      <c r="J57">
        <v>105252</v>
      </c>
      <c r="K57">
        <v>29640</v>
      </c>
      <c r="L57" s="4">
        <f t="shared" si="0"/>
        <v>0.28160985064416827</v>
      </c>
    </row>
    <row r="58" spans="1:12" x14ac:dyDescent="0.25">
      <c r="A58">
        <v>2057</v>
      </c>
      <c r="B58" s="1">
        <v>45348</v>
      </c>
      <c r="C58" t="s">
        <v>14</v>
      </c>
      <c r="D58" t="s">
        <v>18</v>
      </c>
      <c r="E58" t="s">
        <v>24</v>
      </c>
      <c r="F58" t="s">
        <v>29</v>
      </c>
      <c r="G58">
        <v>10</v>
      </c>
      <c r="H58">
        <v>18570</v>
      </c>
      <c r="I58">
        <v>11922</v>
      </c>
      <c r="J58">
        <v>185700</v>
      </c>
      <c r="K58">
        <v>66480</v>
      </c>
      <c r="L58" s="4">
        <f t="shared" si="0"/>
        <v>0.35799676898222943</v>
      </c>
    </row>
    <row r="59" spans="1:12" x14ac:dyDescent="0.25">
      <c r="A59">
        <v>2058</v>
      </c>
      <c r="B59" s="1">
        <v>45349</v>
      </c>
      <c r="C59" t="s">
        <v>14</v>
      </c>
      <c r="D59" t="s">
        <v>22</v>
      </c>
      <c r="E59" t="s">
        <v>25</v>
      </c>
      <c r="F59" t="s">
        <v>27</v>
      </c>
      <c r="G59">
        <v>11</v>
      </c>
      <c r="H59">
        <v>28251</v>
      </c>
      <c r="I59">
        <v>22858</v>
      </c>
      <c r="J59">
        <v>310761</v>
      </c>
      <c r="K59">
        <v>59323</v>
      </c>
      <c r="L59" s="4">
        <f t="shared" si="0"/>
        <v>0.19089589749035432</v>
      </c>
    </row>
    <row r="60" spans="1:12" x14ac:dyDescent="0.25">
      <c r="A60">
        <v>2059</v>
      </c>
      <c r="B60" s="1">
        <v>45350</v>
      </c>
      <c r="C60" t="s">
        <v>11</v>
      </c>
      <c r="D60" t="s">
        <v>15</v>
      </c>
      <c r="E60" t="s">
        <v>24</v>
      </c>
      <c r="F60" t="s">
        <v>29</v>
      </c>
      <c r="G60">
        <v>13</v>
      </c>
      <c r="H60">
        <v>50189</v>
      </c>
      <c r="I60">
        <v>42311</v>
      </c>
      <c r="J60">
        <v>652457</v>
      </c>
      <c r="K60">
        <v>102414</v>
      </c>
      <c r="L60" s="4">
        <f t="shared" si="0"/>
        <v>0.1569666660025105</v>
      </c>
    </row>
    <row r="61" spans="1:12" x14ac:dyDescent="0.25">
      <c r="A61">
        <v>2060</v>
      </c>
      <c r="B61" s="1">
        <v>45351</v>
      </c>
      <c r="C61" t="s">
        <v>11</v>
      </c>
      <c r="D61" t="s">
        <v>15</v>
      </c>
      <c r="E61" t="s">
        <v>24</v>
      </c>
      <c r="F61" t="s">
        <v>28</v>
      </c>
      <c r="G61">
        <v>1</v>
      </c>
      <c r="H61">
        <v>24876</v>
      </c>
      <c r="I61">
        <v>19611</v>
      </c>
      <c r="J61">
        <v>24876</v>
      </c>
      <c r="K61">
        <v>5265</v>
      </c>
      <c r="L61" s="4">
        <f t="shared" si="0"/>
        <v>0.21164978292329956</v>
      </c>
    </row>
    <row r="62" spans="1:12" x14ac:dyDescent="0.25">
      <c r="A62">
        <v>2061</v>
      </c>
      <c r="B62" s="1">
        <v>45352</v>
      </c>
      <c r="C62" t="s">
        <v>14</v>
      </c>
      <c r="D62" t="s">
        <v>19</v>
      </c>
      <c r="E62" t="s">
        <v>25</v>
      </c>
      <c r="F62" t="s">
        <v>30</v>
      </c>
      <c r="G62">
        <v>2</v>
      </c>
      <c r="H62">
        <v>56266</v>
      </c>
      <c r="I62">
        <v>34225</v>
      </c>
      <c r="J62">
        <v>112532</v>
      </c>
      <c r="K62">
        <v>44082</v>
      </c>
      <c r="L62" s="4">
        <f t="shared" si="0"/>
        <v>0.39172857498311592</v>
      </c>
    </row>
    <row r="63" spans="1:12" x14ac:dyDescent="0.25">
      <c r="A63">
        <v>2062</v>
      </c>
      <c r="B63" s="1">
        <v>45353</v>
      </c>
      <c r="C63" t="s">
        <v>11</v>
      </c>
      <c r="D63" t="s">
        <v>21</v>
      </c>
      <c r="E63" t="s">
        <v>25</v>
      </c>
      <c r="F63" t="s">
        <v>29</v>
      </c>
      <c r="G63">
        <v>17</v>
      </c>
      <c r="H63">
        <v>53421</v>
      </c>
      <c r="I63">
        <v>40749</v>
      </c>
      <c r="J63">
        <v>908157</v>
      </c>
      <c r="K63">
        <v>215424</v>
      </c>
      <c r="L63" s="4">
        <f t="shared" si="0"/>
        <v>0.23721008592126691</v>
      </c>
    </row>
    <row r="64" spans="1:12" x14ac:dyDescent="0.25">
      <c r="A64">
        <v>2063</v>
      </c>
      <c r="B64" s="1">
        <v>45354</v>
      </c>
      <c r="C64" t="s">
        <v>13</v>
      </c>
      <c r="D64" t="s">
        <v>18</v>
      </c>
      <c r="E64" t="s">
        <v>24</v>
      </c>
      <c r="F64" t="s">
        <v>27</v>
      </c>
      <c r="G64">
        <v>5</v>
      </c>
      <c r="H64">
        <v>53506</v>
      </c>
      <c r="I64">
        <v>37885</v>
      </c>
      <c r="J64">
        <v>267530</v>
      </c>
      <c r="K64">
        <v>78105</v>
      </c>
      <c r="L64" s="4">
        <f t="shared" si="0"/>
        <v>0.29194856651590478</v>
      </c>
    </row>
    <row r="65" spans="1:12" x14ac:dyDescent="0.25">
      <c r="A65">
        <v>2064</v>
      </c>
      <c r="B65" s="1">
        <v>45355</v>
      </c>
      <c r="C65" t="s">
        <v>11</v>
      </c>
      <c r="D65" t="s">
        <v>16</v>
      </c>
      <c r="E65" t="s">
        <v>25</v>
      </c>
      <c r="F65" t="s">
        <v>28</v>
      </c>
      <c r="G65">
        <v>13</v>
      </c>
      <c r="H65">
        <v>22106</v>
      </c>
      <c r="I65">
        <v>13829</v>
      </c>
      <c r="J65">
        <v>287378</v>
      </c>
      <c r="K65">
        <v>107601</v>
      </c>
      <c r="L65" s="4">
        <f t="shared" si="0"/>
        <v>0.37442323351126389</v>
      </c>
    </row>
    <row r="66" spans="1:12" x14ac:dyDescent="0.25">
      <c r="A66">
        <v>2065</v>
      </c>
      <c r="B66" s="1">
        <v>45356</v>
      </c>
      <c r="C66" t="s">
        <v>13</v>
      </c>
      <c r="D66" t="s">
        <v>19</v>
      </c>
      <c r="E66" t="s">
        <v>25</v>
      </c>
      <c r="F66" t="s">
        <v>29</v>
      </c>
      <c r="G66">
        <v>16</v>
      </c>
      <c r="H66">
        <v>40234</v>
      </c>
      <c r="I66">
        <v>25810</v>
      </c>
      <c r="J66">
        <v>643744</v>
      </c>
      <c r="K66">
        <v>230784</v>
      </c>
      <c r="L66" s="4">
        <f t="shared" ref="L66:L129" si="1">(K66/J66)</f>
        <v>0.35850275886066513</v>
      </c>
    </row>
    <row r="67" spans="1:12" x14ac:dyDescent="0.25">
      <c r="A67">
        <v>2066</v>
      </c>
      <c r="B67" s="1">
        <v>45357</v>
      </c>
      <c r="C67" t="s">
        <v>11</v>
      </c>
      <c r="D67" t="s">
        <v>19</v>
      </c>
      <c r="E67" t="s">
        <v>25</v>
      </c>
      <c r="F67" t="s">
        <v>29</v>
      </c>
      <c r="G67">
        <v>19</v>
      </c>
      <c r="H67">
        <v>21636</v>
      </c>
      <c r="I67">
        <v>15570</v>
      </c>
      <c r="J67">
        <v>411084</v>
      </c>
      <c r="K67">
        <v>115254</v>
      </c>
      <c r="L67" s="4">
        <f t="shared" si="1"/>
        <v>0.28036605657237934</v>
      </c>
    </row>
    <row r="68" spans="1:12" x14ac:dyDescent="0.25">
      <c r="A68">
        <v>2067</v>
      </c>
      <c r="B68" s="1">
        <v>45358</v>
      </c>
      <c r="C68" t="s">
        <v>11</v>
      </c>
      <c r="D68" t="s">
        <v>15</v>
      </c>
      <c r="E68" t="s">
        <v>24</v>
      </c>
      <c r="F68" t="s">
        <v>27</v>
      </c>
      <c r="G68">
        <v>9</v>
      </c>
      <c r="H68">
        <v>26445</v>
      </c>
      <c r="I68">
        <v>16068</v>
      </c>
      <c r="J68">
        <v>238005</v>
      </c>
      <c r="K68">
        <v>93393</v>
      </c>
      <c r="L68" s="4">
        <f t="shared" si="1"/>
        <v>0.39239931934203065</v>
      </c>
    </row>
    <row r="69" spans="1:12" x14ac:dyDescent="0.25">
      <c r="A69">
        <v>2068</v>
      </c>
      <c r="B69" s="1">
        <v>45359</v>
      </c>
      <c r="C69" t="s">
        <v>14</v>
      </c>
      <c r="D69" t="s">
        <v>22</v>
      </c>
      <c r="E69" t="s">
        <v>25</v>
      </c>
      <c r="F69" t="s">
        <v>31</v>
      </c>
      <c r="G69">
        <v>15</v>
      </c>
      <c r="H69">
        <v>1581</v>
      </c>
      <c r="I69">
        <v>1382</v>
      </c>
      <c r="J69">
        <v>23715</v>
      </c>
      <c r="K69">
        <v>2985</v>
      </c>
      <c r="L69" s="4">
        <f t="shared" si="1"/>
        <v>0.12586970271979758</v>
      </c>
    </row>
    <row r="70" spans="1:12" x14ac:dyDescent="0.25">
      <c r="A70">
        <v>2069</v>
      </c>
      <c r="B70" s="1">
        <v>45360</v>
      </c>
      <c r="C70" t="s">
        <v>13</v>
      </c>
      <c r="D70" t="s">
        <v>23</v>
      </c>
      <c r="E70" t="s">
        <v>26</v>
      </c>
      <c r="F70" t="s">
        <v>27</v>
      </c>
      <c r="G70">
        <v>16</v>
      </c>
      <c r="H70">
        <v>57056</v>
      </c>
      <c r="I70">
        <v>39025</v>
      </c>
      <c r="J70">
        <v>912896</v>
      </c>
      <c r="K70">
        <v>288496</v>
      </c>
      <c r="L70" s="4">
        <f t="shared" si="1"/>
        <v>0.31602285473920361</v>
      </c>
    </row>
    <row r="71" spans="1:12" x14ac:dyDescent="0.25">
      <c r="A71">
        <v>2070</v>
      </c>
      <c r="B71" s="1">
        <v>45361</v>
      </c>
      <c r="C71" t="s">
        <v>14</v>
      </c>
      <c r="D71" t="s">
        <v>18</v>
      </c>
      <c r="E71" t="s">
        <v>24</v>
      </c>
      <c r="F71" t="s">
        <v>30</v>
      </c>
      <c r="G71">
        <v>12</v>
      </c>
      <c r="H71">
        <v>56656</v>
      </c>
      <c r="I71">
        <v>41125</v>
      </c>
      <c r="J71">
        <v>679872</v>
      </c>
      <c r="K71">
        <v>186372</v>
      </c>
      <c r="L71" s="4">
        <f t="shared" si="1"/>
        <v>0.27412807116633719</v>
      </c>
    </row>
    <row r="72" spans="1:12" x14ac:dyDescent="0.25">
      <c r="A72">
        <v>2071</v>
      </c>
      <c r="B72" s="1">
        <v>45362</v>
      </c>
      <c r="C72" t="s">
        <v>11</v>
      </c>
      <c r="D72" t="s">
        <v>16</v>
      </c>
      <c r="E72" t="s">
        <v>25</v>
      </c>
      <c r="F72" t="s">
        <v>27</v>
      </c>
      <c r="G72">
        <v>14</v>
      </c>
      <c r="H72">
        <v>7753</v>
      </c>
      <c r="I72">
        <v>4685</v>
      </c>
      <c r="J72">
        <v>108542</v>
      </c>
      <c r="K72">
        <v>42952</v>
      </c>
      <c r="L72" s="4">
        <f t="shared" si="1"/>
        <v>0.39571778666322716</v>
      </c>
    </row>
    <row r="73" spans="1:12" x14ac:dyDescent="0.25">
      <c r="A73">
        <v>2072</v>
      </c>
      <c r="B73" s="1">
        <v>45363</v>
      </c>
      <c r="C73" t="s">
        <v>11</v>
      </c>
      <c r="D73" t="s">
        <v>22</v>
      </c>
      <c r="E73" t="s">
        <v>25</v>
      </c>
      <c r="F73" t="s">
        <v>29</v>
      </c>
      <c r="G73">
        <v>5</v>
      </c>
      <c r="H73">
        <v>51793</v>
      </c>
      <c r="I73">
        <v>44367</v>
      </c>
      <c r="J73">
        <v>258965</v>
      </c>
      <c r="K73">
        <v>37130</v>
      </c>
      <c r="L73" s="4">
        <f t="shared" si="1"/>
        <v>0.14337844882513082</v>
      </c>
    </row>
    <row r="74" spans="1:12" x14ac:dyDescent="0.25">
      <c r="A74">
        <v>2073</v>
      </c>
      <c r="B74" s="1">
        <v>45364</v>
      </c>
      <c r="C74" t="s">
        <v>12</v>
      </c>
      <c r="D74" t="s">
        <v>16</v>
      </c>
      <c r="E74" t="s">
        <v>25</v>
      </c>
      <c r="F74" t="s">
        <v>29</v>
      </c>
      <c r="G74">
        <v>5</v>
      </c>
      <c r="H74">
        <v>29722</v>
      </c>
      <c r="I74">
        <v>20921</v>
      </c>
      <c r="J74">
        <v>148610</v>
      </c>
      <c r="K74">
        <v>44005</v>
      </c>
      <c r="L74" s="4">
        <f t="shared" si="1"/>
        <v>0.29611062512616915</v>
      </c>
    </row>
    <row r="75" spans="1:12" x14ac:dyDescent="0.25">
      <c r="A75">
        <v>2074</v>
      </c>
      <c r="B75" s="1">
        <v>45365</v>
      </c>
      <c r="C75" t="s">
        <v>14</v>
      </c>
      <c r="D75" t="s">
        <v>18</v>
      </c>
      <c r="E75" t="s">
        <v>24</v>
      </c>
      <c r="F75" t="s">
        <v>30</v>
      </c>
      <c r="G75">
        <v>10</v>
      </c>
      <c r="H75">
        <v>33080</v>
      </c>
      <c r="I75">
        <v>28647</v>
      </c>
      <c r="J75">
        <v>330800</v>
      </c>
      <c r="K75">
        <v>44330</v>
      </c>
      <c r="L75" s="4">
        <f t="shared" si="1"/>
        <v>0.13400846432889962</v>
      </c>
    </row>
    <row r="76" spans="1:12" x14ac:dyDescent="0.25">
      <c r="A76">
        <v>2075</v>
      </c>
      <c r="B76" s="1">
        <v>45366</v>
      </c>
      <c r="C76" t="s">
        <v>11</v>
      </c>
      <c r="D76" t="s">
        <v>22</v>
      </c>
      <c r="E76" t="s">
        <v>25</v>
      </c>
      <c r="F76" t="s">
        <v>29</v>
      </c>
      <c r="G76">
        <v>4</v>
      </c>
      <c r="H76">
        <v>42475</v>
      </c>
      <c r="I76">
        <v>33878</v>
      </c>
      <c r="J76">
        <v>169900</v>
      </c>
      <c r="K76">
        <v>34388</v>
      </c>
      <c r="L76" s="4">
        <f t="shared" si="1"/>
        <v>0.20240141259564451</v>
      </c>
    </row>
    <row r="77" spans="1:12" x14ac:dyDescent="0.25">
      <c r="A77">
        <v>2076</v>
      </c>
      <c r="B77" s="1">
        <v>45367</v>
      </c>
      <c r="C77" t="s">
        <v>14</v>
      </c>
      <c r="D77" t="s">
        <v>22</v>
      </c>
      <c r="E77" t="s">
        <v>25</v>
      </c>
      <c r="F77" t="s">
        <v>30</v>
      </c>
      <c r="G77">
        <v>12</v>
      </c>
      <c r="H77">
        <v>49615</v>
      </c>
      <c r="I77">
        <v>38487</v>
      </c>
      <c r="J77">
        <v>595380</v>
      </c>
      <c r="K77">
        <v>133536</v>
      </c>
      <c r="L77" s="4">
        <f t="shared" si="1"/>
        <v>0.22428700997682152</v>
      </c>
    </row>
    <row r="78" spans="1:12" x14ac:dyDescent="0.25">
      <c r="A78">
        <v>2077</v>
      </c>
      <c r="B78" s="1">
        <v>45368</v>
      </c>
      <c r="C78" t="s">
        <v>13</v>
      </c>
      <c r="D78" t="s">
        <v>22</v>
      </c>
      <c r="E78" t="s">
        <v>25</v>
      </c>
      <c r="F78" t="s">
        <v>28</v>
      </c>
      <c r="G78">
        <v>11</v>
      </c>
      <c r="H78">
        <v>4500</v>
      </c>
      <c r="I78">
        <v>3795</v>
      </c>
      <c r="J78">
        <v>49500</v>
      </c>
      <c r="K78">
        <v>7755</v>
      </c>
      <c r="L78" s="4">
        <f t="shared" si="1"/>
        <v>0.15666666666666668</v>
      </c>
    </row>
    <row r="79" spans="1:12" x14ac:dyDescent="0.25">
      <c r="A79">
        <v>2078</v>
      </c>
      <c r="B79" s="1">
        <v>45369</v>
      </c>
      <c r="C79" t="s">
        <v>12</v>
      </c>
      <c r="D79" t="s">
        <v>19</v>
      </c>
      <c r="E79" t="s">
        <v>25</v>
      </c>
      <c r="F79" t="s">
        <v>28</v>
      </c>
      <c r="G79">
        <v>10</v>
      </c>
      <c r="H79">
        <v>32820</v>
      </c>
      <c r="I79">
        <v>29155</v>
      </c>
      <c r="J79">
        <v>328200</v>
      </c>
      <c r="K79">
        <v>36650</v>
      </c>
      <c r="L79" s="4">
        <f t="shared" si="1"/>
        <v>0.11166971358927483</v>
      </c>
    </row>
    <row r="80" spans="1:12" x14ac:dyDescent="0.25">
      <c r="A80">
        <v>2079</v>
      </c>
      <c r="B80" s="1">
        <v>45370</v>
      </c>
      <c r="C80" t="s">
        <v>12</v>
      </c>
      <c r="D80" t="s">
        <v>20</v>
      </c>
      <c r="E80" t="s">
        <v>25</v>
      </c>
      <c r="F80" t="s">
        <v>31</v>
      </c>
      <c r="G80">
        <v>3</v>
      </c>
      <c r="H80">
        <v>32496</v>
      </c>
      <c r="I80">
        <v>20418</v>
      </c>
      <c r="J80">
        <v>97488</v>
      </c>
      <c r="K80">
        <v>36234</v>
      </c>
      <c r="L80" s="4">
        <f t="shared" si="1"/>
        <v>0.3716765140324963</v>
      </c>
    </row>
    <row r="81" spans="1:12" x14ac:dyDescent="0.25">
      <c r="A81">
        <v>2080</v>
      </c>
      <c r="B81" s="1">
        <v>45371</v>
      </c>
      <c r="C81" t="s">
        <v>12</v>
      </c>
      <c r="D81" t="s">
        <v>23</v>
      </c>
      <c r="E81" t="s">
        <v>26</v>
      </c>
      <c r="F81" t="s">
        <v>31</v>
      </c>
      <c r="G81">
        <v>2</v>
      </c>
      <c r="H81">
        <v>23632</v>
      </c>
      <c r="I81">
        <v>20169</v>
      </c>
      <c r="J81">
        <v>47264</v>
      </c>
      <c r="K81">
        <v>6926</v>
      </c>
      <c r="L81" s="4">
        <f t="shared" si="1"/>
        <v>0.14653859174001355</v>
      </c>
    </row>
    <row r="82" spans="1:12" x14ac:dyDescent="0.25">
      <c r="A82">
        <v>2081</v>
      </c>
      <c r="B82" s="1">
        <v>45372</v>
      </c>
      <c r="C82" t="s">
        <v>13</v>
      </c>
      <c r="D82" t="s">
        <v>15</v>
      </c>
      <c r="E82" t="s">
        <v>24</v>
      </c>
      <c r="F82" t="s">
        <v>30</v>
      </c>
      <c r="G82">
        <v>18</v>
      </c>
      <c r="H82">
        <v>3767</v>
      </c>
      <c r="I82">
        <v>3043</v>
      </c>
      <c r="J82">
        <v>67806</v>
      </c>
      <c r="K82">
        <v>13032</v>
      </c>
      <c r="L82" s="4">
        <f t="shared" si="1"/>
        <v>0.19219538093973984</v>
      </c>
    </row>
    <row r="83" spans="1:12" x14ac:dyDescent="0.25">
      <c r="A83">
        <v>2082</v>
      </c>
      <c r="B83" s="1">
        <v>45373</v>
      </c>
      <c r="C83" t="s">
        <v>14</v>
      </c>
      <c r="D83" t="s">
        <v>23</v>
      </c>
      <c r="E83" t="s">
        <v>26</v>
      </c>
      <c r="F83" t="s">
        <v>27</v>
      </c>
      <c r="G83">
        <v>4</v>
      </c>
      <c r="H83">
        <v>40855</v>
      </c>
      <c r="I83">
        <v>29635</v>
      </c>
      <c r="J83">
        <v>163420</v>
      </c>
      <c r="K83">
        <v>44880</v>
      </c>
      <c r="L83" s="4">
        <f t="shared" si="1"/>
        <v>0.27462978827560885</v>
      </c>
    </row>
    <row r="84" spans="1:12" x14ac:dyDescent="0.25">
      <c r="A84">
        <v>2083</v>
      </c>
      <c r="B84" s="1">
        <v>45374</v>
      </c>
      <c r="C84" t="s">
        <v>12</v>
      </c>
      <c r="D84" t="s">
        <v>21</v>
      </c>
      <c r="E84" t="s">
        <v>25</v>
      </c>
      <c r="F84" t="s">
        <v>28</v>
      </c>
      <c r="G84">
        <v>17</v>
      </c>
      <c r="H84">
        <v>36235</v>
      </c>
      <c r="I84">
        <v>30511</v>
      </c>
      <c r="J84">
        <v>615995</v>
      </c>
      <c r="K84">
        <v>97308</v>
      </c>
      <c r="L84" s="4">
        <f t="shared" si="1"/>
        <v>0.15796881468193735</v>
      </c>
    </row>
    <row r="85" spans="1:12" x14ac:dyDescent="0.25">
      <c r="A85">
        <v>2084</v>
      </c>
      <c r="B85" s="1">
        <v>45375</v>
      </c>
      <c r="C85" t="s">
        <v>11</v>
      </c>
      <c r="D85" t="s">
        <v>20</v>
      </c>
      <c r="E85" t="s">
        <v>25</v>
      </c>
      <c r="F85" t="s">
        <v>31</v>
      </c>
      <c r="G85">
        <v>5</v>
      </c>
      <c r="H85">
        <v>5604</v>
      </c>
      <c r="I85">
        <v>4667</v>
      </c>
      <c r="J85">
        <v>28020</v>
      </c>
      <c r="K85">
        <v>4685</v>
      </c>
      <c r="L85" s="4">
        <f t="shared" si="1"/>
        <v>0.16720199857244825</v>
      </c>
    </row>
    <row r="86" spans="1:12" x14ac:dyDescent="0.25">
      <c r="A86">
        <v>2085</v>
      </c>
      <c r="B86" s="1">
        <v>45376</v>
      </c>
      <c r="C86" t="s">
        <v>13</v>
      </c>
      <c r="D86" t="s">
        <v>15</v>
      </c>
      <c r="E86" t="s">
        <v>24</v>
      </c>
      <c r="F86" t="s">
        <v>31</v>
      </c>
      <c r="G86">
        <v>3</v>
      </c>
      <c r="H86">
        <v>6144</v>
      </c>
      <c r="I86">
        <v>5050</v>
      </c>
      <c r="J86">
        <v>18432</v>
      </c>
      <c r="K86">
        <v>3282</v>
      </c>
      <c r="L86" s="4">
        <f t="shared" si="1"/>
        <v>0.17805989583333334</v>
      </c>
    </row>
    <row r="87" spans="1:12" x14ac:dyDescent="0.25">
      <c r="A87">
        <v>2086</v>
      </c>
      <c r="B87" s="1">
        <v>45377</v>
      </c>
      <c r="C87" t="s">
        <v>12</v>
      </c>
      <c r="D87" t="s">
        <v>22</v>
      </c>
      <c r="E87" t="s">
        <v>25</v>
      </c>
      <c r="F87" t="s">
        <v>30</v>
      </c>
      <c r="G87">
        <v>13</v>
      </c>
      <c r="H87">
        <v>14897</v>
      </c>
      <c r="I87">
        <v>11157</v>
      </c>
      <c r="J87">
        <v>193661</v>
      </c>
      <c r="K87">
        <v>48620</v>
      </c>
      <c r="L87" s="4">
        <f t="shared" si="1"/>
        <v>0.25105725985097671</v>
      </c>
    </row>
    <row r="88" spans="1:12" x14ac:dyDescent="0.25">
      <c r="A88">
        <v>2087</v>
      </c>
      <c r="B88" s="1">
        <v>45378</v>
      </c>
      <c r="C88" t="s">
        <v>12</v>
      </c>
      <c r="D88" t="s">
        <v>22</v>
      </c>
      <c r="E88" t="s">
        <v>25</v>
      </c>
      <c r="F88" t="s">
        <v>28</v>
      </c>
      <c r="G88">
        <v>9</v>
      </c>
      <c r="H88">
        <v>14423</v>
      </c>
      <c r="I88">
        <v>8700</v>
      </c>
      <c r="J88">
        <v>129807</v>
      </c>
      <c r="K88">
        <v>51507</v>
      </c>
      <c r="L88" s="4">
        <f t="shared" si="1"/>
        <v>0.39679678291617554</v>
      </c>
    </row>
    <row r="89" spans="1:12" x14ac:dyDescent="0.25">
      <c r="A89">
        <v>2088</v>
      </c>
      <c r="B89" s="1">
        <v>45379</v>
      </c>
      <c r="C89" t="s">
        <v>14</v>
      </c>
      <c r="D89" t="s">
        <v>21</v>
      </c>
      <c r="E89" t="s">
        <v>25</v>
      </c>
      <c r="F89" t="s">
        <v>27</v>
      </c>
      <c r="G89">
        <v>19</v>
      </c>
      <c r="H89">
        <v>35770</v>
      </c>
      <c r="I89">
        <v>31729</v>
      </c>
      <c r="J89">
        <v>679630</v>
      </c>
      <c r="K89">
        <v>76779</v>
      </c>
      <c r="L89" s="4">
        <f t="shared" si="1"/>
        <v>0.11297176404808498</v>
      </c>
    </row>
    <row r="90" spans="1:12" x14ac:dyDescent="0.25">
      <c r="A90">
        <v>2089</v>
      </c>
      <c r="B90" s="1">
        <v>45380</v>
      </c>
      <c r="C90" t="s">
        <v>13</v>
      </c>
      <c r="D90" t="s">
        <v>16</v>
      </c>
      <c r="E90" t="s">
        <v>25</v>
      </c>
      <c r="F90" t="s">
        <v>31</v>
      </c>
      <c r="G90">
        <v>4</v>
      </c>
      <c r="H90">
        <v>56918</v>
      </c>
      <c r="I90">
        <v>44437</v>
      </c>
      <c r="J90">
        <v>227672</v>
      </c>
      <c r="K90">
        <v>49924</v>
      </c>
      <c r="L90" s="4">
        <f t="shared" si="1"/>
        <v>0.21928036824906005</v>
      </c>
    </row>
    <row r="91" spans="1:12" x14ac:dyDescent="0.25">
      <c r="A91">
        <v>2090</v>
      </c>
      <c r="B91" s="1">
        <v>45381</v>
      </c>
      <c r="C91" t="s">
        <v>14</v>
      </c>
      <c r="D91" t="s">
        <v>15</v>
      </c>
      <c r="E91" t="s">
        <v>24</v>
      </c>
      <c r="F91" t="s">
        <v>29</v>
      </c>
      <c r="G91">
        <v>7</v>
      </c>
      <c r="H91">
        <v>19040</v>
      </c>
      <c r="I91">
        <v>16741</v>
      </c>
      <c r="J91">
        <v>133280</v>
      </c>
      <c r="K91">
        <v>16093</v>
      </c>
      <c r="L91" s="4">
        <f t="shared" si="1"/>
        <v>0.12074579831932773</v>
      </c>
    </row>
    <row r="92" spans="1:12" x14ac:dyDescent="0.25">
      <c r="A92">
        <v>2091</v>
      </c>
      <c r="B92" s="1">
        <v>45382</v>
      </c>
      <c r="C92" t="s">
        <v>12</v>
      </c>
      <c r="D92" t="s">
        <v>16</v>
      </c>
      <c r="E92" t="s">
        <v>25</v>
      </c>
      <c r="F92" t="s">
        <v>29</v>
      </c>
      <c r="G92">
        <v>11</v>
      </c>
      <c r="H92">
        <v>24214</v>
      </c>
      <c r="I92">
        <v>20976</v>
      </c>
      <c r="J92">
        <v>266354</v>
      </c>
      <c r="K92">
        <v>35618</v>
      </c>
      <c r="L92" s="4">
        <f t="shared" si="1"/>
        <v>0.13372429173205583</v>
      </c>
    </row>
    <row r="93" spans="1:12" x14ac:dyDescent="0.25">
      <c r="A93">
        <v>2092</v>
      </c>
      <c r="B93" s="1">
        <v>45383</v>
      </c>
      <c r="C93" t="s">
        <v>13</v>
      </c>
      <c r="D93" t="s">
        <v>21</v>
      </c>
      <c r="E93" t="s">
        <v>25</v>
      </c>
      <c r="F93" t="s">
        <v>27</v>
      </c>
      <c r="G93">
        <v>17</v>
      </c>
      <c r="H93">
        <v>24125</v>
      </c>
      <c r="I93">
        <v>20532</v>
      </c>
      <c r="J93">
        <v>410125</v>
      </c>
      <c r="K93">
        <v>61081</v>
      </c>
      <c r="L93" s="4">
        <f t="shared" si="1"/>
        <v>0.14893264248704663</v>
      </c>
    </row>
    <row r="94" spans="1:12" x14ac:dyDescent="0.25">
      <c r="A94">
        <v>2093</v>
      </c>
      <c r="B94" s="1">
        <v>45384</v>
      </c>
      <c r="C94" t="s">
        <v>13</v>
      </c>
      <c r="D94" t="s">
        <v>23</v>
      </c>
      <c r="E94" t="s">
        <v>26</v>
      </c>
      <c r="F94" t="s">
        <v>27</v>
      </c>
      <c r="G94">
        <v>2</v>
      </c>
      <c r="H94">
        <v>39581</v>
      </c>
      <c r="I94">
        <v>28458</v>
      </c>
      <c r="J94">
        <v>79162</v>
      </c>
      <c r="K94">
        <v>22246</v>
      </c>
      <c r="L94" s="4">
        <f t="shared" si="1"/>
        <v>0.28101867057426544</v>
      </c>
    </row>
    <row r="95" spans="1:12" x14ac:dyDescent="0.25">
      <c r="A95">
        <v>2094</v>
      </c>
      <c r="B95" s="1">
        <v>45385</v>
      </c>
      <c r="C95" t="s">
        <v>13</v>
      </c>
      <c r="D95" t="s">
        <v>16</v>
      </c>
      <c r="E95" t="s">
        <v>25</v>
      </c>
      <c r="F95" t="s">
        <v>31</v>
      </c>
      <c r="G95">
        <v>16</v>
      </c>
      <c r="H95">
        <v>55193</v>
      </c>
      <c r="I95">
        <v>49452</v>
      </c>
      <c r="J95">
        <v>883088</v>
      </c>
      <c r="K95">
        <v>91856</v>
      </c>
      <c r="L95" s="4">
        <f t="shared" si="1"/>
        <v>0.10401681372637835</v>
      </c>
    </row>
    <row r="96" spans="1:12" x14ac:dyDescent="0.25">
      <c r="A96">
        <v>2095</v>
      </c>
      <c r="B96" s="1">
        <v>45386</v>
      </c>
      <c r="C96" t="s">
        <v>13</v>
      </c>
      <c r="D96" t="s">
        <v>18</v>
      </c>
      <c r="E96" t="s">
        <v>24</v>
      </c>
      <c r="F96" t="s">
        <v>27</v>
      </c>
      <c r="G96">
        <v>7</v>
      </c>
      <c r="H96">
        <v>41959</v>
      </c>
      <c r="I96">
        <v>28154</v>
      </c>
      <c r="J96">
        <v>293713</v>
      </c>
      <c r="K96">
        <v>96635</v>
      </c>
      <c r="L96" s="4">
        <f t="shared" si="1"/>
        <v>0.329011654233895</v>
      </c>
    </row>
    <row r="97" spans="1:12" x14ac:dyDescent="0.25">
      <c r="A97">
        <v>2096</v>
      </c>
      <c r="B97" s="1">
        <v>45387</v>
      </c>
      <c r="C97" t="s">
        <v>13</v>
      </c>
      <c r="D97" t="s">
        <v>17</v>
      </c>
      <c r="E97" t="s">
        <v>25</v>
      </c>
      <c r="F97" t="s">
        <v>28</v>
      </c>
      <c r="G97">
        <v>19</v>
      </c>
      <c r="H97">
        <v>59671</v>
      </c>
      <c r="I97">
        <v>42538</v>
      </c>
      <c r="J97">
        <v>1133749</v>
      </c>
      <c r="K97">
        <v>325527</v>
      </c>
      <c r="L97" s="4">
        <f t="shared" si="1"/>
        <v>0.28712439878668028</v>
      </c>
    </row>
    <row r="98" spans="1:12" x14ac:dyDescent="0.25">
      <c r="A98">
        <v>2097</v>
      </c>
      <c r="B98" s="1">
        <v>45388</v>
      </c>
      <c r="C98" t="s">
        <v>12</v>
      </c>
      <c r="D98" t="s">
        <v>18</v>
      </c>
      <c r="E98" t="s">
        <v>24</v>
      </c>
      <c r="F98" t="s">
        <v>30</v>
      </c>
      <c r="G98">
        <v>19</v>
      </c>
      <c r="H98">
        <v>27290</v>
      </c>
      <c r="I98">
        <v>19847</v>
      </c>
      <c r="J98">
        <v>518510</v>
      </c>
      <c r="K98">
        <v>141417</v>
      </c>
      <c r="L98" s="4">
        <f t="shared" si="1"/>
        <v>0.27273726639794799</v>
      </c>
    </row>
    <row r="99" spans="1:12" x14ac:dyDescent="0.25">
      <c r="A99">
        <v>2098</v>
      </c>
      <c r="B99" s="1">
        <v>45389</v>
      </c>
      <c r="C99" t="s">
        <v>13</v>
      </c>
      <c r="D99" t="s">
        <v>20</v>
      </c>
      <c r="E99" t="s">
        <v>25</v>
      </c>
      <c r="F99" t="s">
        <v>31</v>
      </c>
      <c r="G99">
        <v>8</v>
      </c>
      <c r="H99">
        <v>9935</v>
      </c>
      <c r="I99">
        <v>7664</v>
      </c>
      <c r="J99">
        <v>79480</v>
      </c>
      <c r="K99">
        <v>18168</v>
      </c>
      <c r="L99" s="4">
        <f t="shared" si="1"/>
        <v>0.22858580775037746</v>
      </c>
    </row>
    <row r="100" spans="1:12" x14ac:dyDescent="0.25">
      <c r="A100">
        <v>2099</v>
      </c>
      <c r="B100" s="1">
        <v>45390</v>
      </c>
      <c r="C100" t="s">
        <v>13</v>
      </c>
      <c r="D100" t="s">
        <v>15</v>
      </c>
      <c r="E100" t="s">
        <v>24</v>
      </c>
      <c r="F100" t="s">
        <v>31</v>
      </c>
      <c r="G100">
        <v>17</v>
      </c>
      <c r="H100">
        <v>52724</v>
      </c>
      <c r="I100">
        <v>42406</v>
      </c>
      <c r="J100">
        <v>896308</v>
      </c>
      <c r="K100">
        <v>175406</v>
      </c>
      <c r="L100" s="4">
        <f t="shared" si="1"/>
        <v>0.19569835369091876</v>
      </c>
    </row>
    <row r="101" spans="1:12" x14ac:dyDescent="0.25">
      <c r="A101">
        <v>2100</v>
      </c>
      <c r="B101" s="1">
        <v>45391</v>
      </c>
      <c r="C101" t="s">
        <v>13</v>
      </c>
      <c r="D101" t="s">
        <v>18</v>
      </c>
      <c r="E101" t="s">
        <v>24</v>
      </c>
      <c r="F101" t="s">
        <v>27</v>
      </c>
      <c r="G101">
        <v>12</v>
      </c>
      <c r="H101">
        <v>46696</v>
      </c>
      <c r="I101">
        <v>41511</v>
      </c>
      <c r="J101">
        <v>560352</v>
      </c>
      <c r="K101">
        <v>62220</v>
      </c>
      <c r="L101" s="4">
        <f t="shared" si="1"/>
        <v>0.11103734795271544</v>
      </c>
    </row>
    <row r="102" spans="1:12" x14ac:dyDescent="0.25">
      <c r="A102">
        <v>2101</v>
      </c>
      <c r="B102" s="1">
        <v>45392</v>
      </c>
      <c r="C102" t="s">
        <v>11</v>
      </c>
      <c r="D102" t="s">
        <v>16</v>
      </c>
      <c r="E102" t="s">
        <v>25</v>
      </c>
      <c r="F102" t="s">
        <v>27</v>
      </c>
      <c r="G102">
        <v>11</v>
      </c>
      <c r="H102">
        <v>21059</v>
      </c>
      <c r="I102">
        <v>15969</v>
      </c>
      <c r="J102">
        <v>231649</v>
      </c>
      <c r="K102">
        <v>55990</v>
      </c>
      <c r="L102" s="4">
        <f t="shared" si="1"/>
        <v>0.24170188517973312</v>
      </c>
    </row>
    <row r="103" spans="1:12" x14ac:dyDescent="0.25">
      <c r="A103">
        <v>2102</v>
      </c>
      <c r="B103" s="1">
        <v>45393</v>
      </c>
      <c r="C103" t="s">
        <v>12</v>
      </c>
      <c r="D103" t="s">
        <v>17</v>
      </c>
      <c r="E103" t="s">
        <v>25</v>
      </c>
      <c r="F103" t="s">
        <v>31</v>
      </c>
      <c r="G103">
        <v>18</v>
      </c>
      <c r="H103">
        <v>26326</v>
      </c>
      <c r="I103">
        <v>21287</v>
      </c>
      <c r="J103">
        <v>473868</v>
      </c>
      <c r="K103">
        <v>90702</v>
      </c>
      <c r="L103" s="4">
        <f t="shared" si="1"/>
        <v>0.19140773379928588</v>
      </c>
    </row>
    <row r="104" spans="1:12" x14ac:dyDescent="0.25">
      <c r="A104">
        <v>2103</v>
      </c>
      <c r="B104" s="1">
        <v>45394</v>
      </c>
      <c r="C104" t="s">
        <v>13</v>
      </c>
      <c r="D104" t="s">
        <v>22</v>
      </c>
      <c r="E104" t="s">
        <v>25</v>
      </c>
      <c r="F104" t="s">
        <v>30</v>
      </c>
      <c r="G104">
        <v>1</v>
      </c>
      <c r="H104">
        <v>38913</v>
      </c>
      <c r="I104">
        <v>26785</v>
      </c>
      <c r="J104">
        <v>38913</v>
      </c>
      <c r="K104">
        <v>12128</v>
      </c>
      <c r="L104" s="4">
        <f t="shared" si="1"/>
        <v>0.31166962197723125</v>
      </c>
    </row>
    <row r="105" spans="1:12" x14ac:dyDescent="0.25">
      <c r="A105">
        <v>2104</v>
      </c>
      <c r="B105" s="1">
        <v>45395</v>
      </c>
      <c r="C105" t="s">
        <v>11</v>
      </c>
      <c r="D105" t="s">
        <v>15</v>
      </c>
      <c r="E105" t="s">
        <v>24</v>
      </c>
      <c r="F105" t="s">
        <v>28</v>
      </c>
      <c r="G105">
        <v>10</v>
      </c>
      <c r="H105">
        <v>25004</v>
      </c>
      <c r="I105">
        <v>21867</v>
      </c>
      <c r="J105">
        <v>250040</v>
      </c>
      <c r="K105">
        <v>31370</v>
      </c>
      <c r="L105" s="4">
        <f t="shared" si="1"/>
        <v>0.12545992641177411</v>
      </c>
    </row>
    <row r="106" spans="1:12" x14ac:dyDescent="0.25">
      <c r="A106">
        <v>2105</v>
      </c>
      <c r="B106" s="1">
        <v>45396</v>
      </c>
      <c r="C106" t="s">
        <v>14</v>
      </c>
      <c r="D106" t="s">
        <v>23</v>
      </c>
      <c r="E106" t="s">
        <v>26</v>
      </c>
      <c r="F106" t="s">
        <v>29</v>
      </c>
      <c r="G106">
        <v>4</v>
      </c>
      <c r="H106">
        <v>1167</v>
      </c>
      <c r="I106">
        <v>817</v>
      </c>
      <c r="J106">
        <v>4668</v>
      </c>
      <c r="K106">
        <v>1400</v>
      </c>
      <c r="L106" s="4">
        <f t="shared" si="1"/>
        <v>0.29991431019708653</v>
      </c>
    </row>
    <row r="107" spans="1:12" x14ac:dyDescent="0.25">
      <c r="A107">
        <v>2106</v>
      </c>
      <c r="B107" s="1">
        <v>45397</v>
      </c>
      <c r="C107" t="s">
        <v>11</v>
      </c>
      <c r="D107" t="s">
        <v>20</v>
      </c>
      <c r="E107" t="s">
        <v>25</v>
      </c>
      <c r="F107" t="s">
        <v>30</v>
      </c>
      <c r="G107">
        <v>9</v>
      </c>
      <c r="H107">
        <v>33807</v>
      </c>
      <c r="I107">
        <v>21072</v>
      </c>
      <c r="J107">
        <v>304263</v>
      </c>
      <c r="K107">
        <v>114615</v>
      </c>
      <c r="L107" s="4">
        <f t="shared" si="1"/>
        <v>0.37669713372970093</v>
      </c>
    </row>
    <row r="108" spans="1:12" x14ac:dyDescent="0.25">
      <c r="A108">
        <v>2107</v>
      </c>
      <c r="B108" s="1">
        <v>45398</v>
      </c>
      <c r="C108" t="s">
        <v>13</v>
      </c>
      <c r="D108" t="s">
        <v>18</v>
      </c>
      <c r="E108" t="s">
        <v>24</v>
      </c>
      <c r="F108" t="s">
        <v>28</v>
      </c>
      <c r="G108">
        <v>1</v>
      </c>
      <c r="H108">
        <v>56754</v>
      </c>
      <c r="I108">
        <v>43180</v>
      </c>
      <c r="J108">
        <v>56754</v>
      </c>
      <c r="K108">
        <v>13574</v>
      </c>
      <c r="L108" s="4">
        <f t="shared" si="1"/>
        <v>0.23917256933432005</v>
      </c>
    </row>
    <row r="109" spans="1:12" x14ac:dyDescent="0.25">
      <c r="A109">
        <v>2108</v>
      </c>
      <c r="B109" s="1">
        <v>45399</v>
      </c>
      <c r="C109" t="s">
        <v>11</v>
      </c>
      <c r="D109" t="s">
        <v>19</v>
      </c>
      <c r="E109" t="s">
        <v>25</v>
      </c>
      <c r="F109" t="s">
        <v>27</v>
      </c>
      <c r="G109">
        <v>19</v>
      </c>
      <c r="H109">
        <v>52976</v>
      </c>
      <c r="I109">
        <v>46733</v>
      </c>
      <c r="J109">
        <v>1006544</v>
      </c>
      <c r="K109">
        <v>118617</v>
      </c>
      <c r="L109" s="4">
        <f t="shared" si="1"/>
        <v>0.11784581697372395</v>
      </c>
    </row>
    <row r="110" spans="1:12" x14ac:dyDescent="0.25">
      <c r="A110">
        <v>2109</v>
      </c>
      <c r="B110" s="1">
        <v>45400</v>
      </c>
      <c r="C110" t="s">
        <v>12</v>
      </c>
      <c r="D110" t="s">
        <v>21</v>
      </c>
      <c r="E110" t="s">
        <v>25</v>
      </c>
      <c r="F110" t="s">
        <v>27</v>
      </c>
      <c r="G110">
        <v>18</v>
      </c>
      <c r="H110">
        <v>509</v>
      </c>
      <c r="I110">
        <v>447</v>
      </c>
      <c r="J110">
        <v>9162</v>
      </c>
      <c r="K110">
        <v>1116</v>
      </c>
      <c r="L110" s="4">
        <f t="shared" si="1"/>
        <v>0.12180746561886051</v>
      </c>
    </row>
    <row r="111" spans="1:12" x14ac:dyDescent="0.25">
      <c r="A111">
        <v>2110</v>
      </c>
      <c r="B111" s="1">
        <v>45401</v>
      </c>
      <c r="C111" t="s">
        <v>14</v>
      </c>
      <c r="D111" t="s">
        <v>16</v>
      </c>
      <c r="E111" t="s">
        <v>25</v>
      </c>
      <c r="F111" t="s">
        <v>31</v>
      </c>
      <c r="G111">
        <v>1</v>
      </c>
      <c r="H111">
        <v>1515</v>
      </c>
      <c r="I111">
        <v>1080</v>
      </c>
      <c r="J111">
        <v>1515</v>
      </c>
      <c r="K111">
        <v>435</v>
      </c>
      <c r="L111" s="4">
        <f t="shared" si="1"/>
        <v>0.28712871287128711</v>
      </c>
    </row>
    <row r="112" spans="1:12" x14ac:dyDescent="0.25">
      <c r="A112">
        <v>2111</v>
      </c>
      <c r="B112" s="1">
        <v>45402</v>
      </c>
      <c r="C112" t="s">
        <v>13</v>
      </c>
      <c r="D112" t="s">
        <v>16</v>
      </c>
      <c r="E112" t="s">
        <v>25</v>
      </c>
      <c r="F112" t="s">
        <v>31</v>
      </c>
      <c r="G112">
        <v>17</v>
      </c>
      <c r="H112">
        <v>24333</v>
      </c>
      <c r="I112">
        <v>17380</v>
      </c>
      <c r="J112">
        <v>413661</v>
      </c>
      <c r="K112">
        <v>118201</v>
      </c>
      <c r="L112" s="4">
        <f t="shared" si="1"/>
        <v>0.28574364032384003</v>
      </c>
    </row>
    <row r="113" spans="1:12" x14ac:dyDescent="0.25">
      <c r="A113">
        <v>2112</v>
      </c>
      <c r="B113" s="1">
        <v>45403</v>
      </c>
      <c r="C113" t="s">
        <v>13</v>
      </c>
      <c r="D113" t="s">
        <v>20</v>
      </c>
      <c r="E113" t="s">
        <v>25</v>
      </c>
      <c r="F113" t="s">
        <v>28</v>
      </c>
      <c r="G113">
        <v>1</v>
      </c>
      <c r="H113">
        <v>10844</v>
      </c>
      <c r="I113">
        <v>7855</v>
      </c>
      <c r="J113">
        <v>10844</v>
      </c>
      <c r="K113">
        <v>2989</v>
      </c>
      <c r="L113" s="4">
        <f t="shared" si="1"/>
        <v>0.27563629656953154</v>
      </c>
    </row>
    <row r="114" spans="1:12" x14ac:dyDescent="0.25">
      <c r="A114">
        <v>2113</v>
      </c>
      <c r="B114" s="1">
        <v>45404</v>
      </c>
      <c r="C114" t="s">
        <v>13</v>
      </c>
      <c r="D114" t="s">
        <v>22</v>
      </c>
      <c r="E114" t="s">
        <v>25</v>
      </c>
      <c r="F114" t="s">
        <v>27</v>
      </c>
      <c r="G114">
        <v>3</v>
      </c>
      <c r="H114">
        <v>33106</v>
      </c>
      <c r="I114">
        <v>27311</v>
      </c>
      <c r="J114">
        <v>99318</v>
      </c>
      <c r="K114">
        <v>17385</v>
      </c>
      <c r="L114" s="4">
        <f t="shared" si="1"/>
        <v>0.17504379870718298</v>
      </c>
    </row>
    <row r="115" spans="1:12" x14ac:dyDescent="0.25">
      <c r="A115">
        <v>2114</v>
      </c>
      <c r="B115" s="1">
        <v>45405</v>
      </c>
      <c r="C115" t="s">
        <v>13</v>
      </c>
      <c r="D115" t="s">
        <v>16</v>
      </c>
      <c r="E115" t="s">
        <v>25</v>
      </c>
      <c r="F115" t="s">
        <v>27</v>
      </c>
      <c r="G115">
        <v>19</v>
      </c>
      <c r="H115">
        <v>11416</v>
      </c>
      <c r="I115">
        <v>9442</v>
      </c>
      <c r="J115">
        <v>216904</v>
      </c>
      <c r="K115">
        <v>37506</v>
      </c>
      <c r="L115" s="4">
        <f t="shared" si="1"/>
        <v>0.17291520672740013</v>
      </c>
    </row>
    <row r="116" spans="1:12" x14ac:dyDescent="0.25">
      <c r="A116">
        <v>2115</v>
      </c>
      <c r="B116" s="1">
        <v>45406</v>
      </c>
      <c r="C116" t="s">
        <v>13</v>
      </c>
      <c r="D116" t="s">
        <v>21</v>
      </c>
      <c r="E116" t="s">
        <v>25</v>
      </c>
      <c r="F116" t="s">
        <v>28</v>
      </c>
      <c r="G116">
        <v>13</v>
      </c>
      <c r="H116">
        <v>39265</v>
      </c>
      <c r="I116">
        <v>26520</v>
      </c>
      <c r="J116">
        <v>510445</v>
      </c>
      <c r="K116">
        <v>165685</v>
      </c>
      <c r="L116" s="4">
        <f t="shared" si="1"/>
        <v>0.32458932891888448</v>
      </c>
    </row>
    <row r="117" spans="1:12" x14ac:dyDescent="0.25">
      <c r="A117">
        <v>2116</v>
      </c>
      <c r="B117" s="1">
        <v>45407</v>
      </c>
      <c r="C117" t="s">
        <v>11</v>
      </c>
      <c r="D117" t="s">
        <v>22</v>
      </c>
      <c r="E117" t="s">
        <v>25</v>
      </c>
      <c r="F117" t="s">
        <v>29</v>
      </c>
      <c r="G117">
        <v>2</v>
      </c>
      <c r="H117">
        <v>38244</v>
      </c>
      <c r="I117">
        <v>31631</v>
      </c>
      <c r="J117">
        <v>76488</v>
      </c>
      <c r="K117">
        <v>13226</v>
      </c>
      <c r="L117" s="4">
        <f t="shared" si="1"/>
        <v>0.17291601296935466</v>
      </c>
    </row>
    <row r="118" spans="1:12" x14ac:dyDescent="0.25">
      <c r="A118">
        <v>2117</v>
      </c>
      <c r="B118" s="1">
        <v>45408</v>
      </c>
      <c r="C118" t="s">
        <v>11</v>
      </c>
      <c r="D118" t="s">
        <v>20</v>
      </c>
      <c r="E118" t="s">
        <v>25</v>
      </c>
      <c r="F118" t="s">
        <v>31</v>
      </c>
      <c r="G118">
        <v>18</v>
      </c>
      <c r="H118">
        <v>43625</v>
      </c>
      <c r="I118">
        <v>37055</v>
      </c>
      <c r="J118">
        <v>785250</v>
      </c>
      <c r="K118">
        <v>118260</v>
      </c>
      <c r="L118" s="4">
        <f t="shared" si="1"/>
        <v>0.15060171919770773</v>
      </c>
    </row>
    <row r="119" spans="1:12" x14ac:dyDescent="0.25">
      <c r="A119">
        <v>2118</v>
      </c>
      <c r="B119" s="1">
        <v>45409</v>
      </c>
      <c r="C119" t="s">
        <v>11</v>
      </c>
      <c r="D119" t="s">
        <v>18</v>
      </c>
      <c r="E119" t="s">
        <v>24</v>
      </c>
      <c r="F119" t="s">
        <v>27</v>
      </c>
      <c r="G119">
        <v>17</v>
      </c>
      <c r="H119">
        <v>8927</v>
      </c>
      <c r="I119">
        <v>6858</v>
      </c>
      <c r="J119">
        <v>151759</v>
      </c>
      <c r="K119">
        <v>35173</v>
      </c>
      <c r="L119" s="4">
        <f t="shared" si="1"/>
        <v>0.23176879130727007</v>
      </c>
    </row>
    <row r="120" spans="1:12" x14ac:dyDescent="0.25">
      <c r="A120">
        <v>2119</v>
      </c>
      <c r="B120" s="1">
        <v>45410</v>
      </c>
      <c r="C120" t="s">
        <v>12</v>
      </c>
      <c r="D120" t="s">
        <v>16</v>
      </c>
      <c r="E120" t="s">
        <v>25</v>
      </c>
      <c r="F120" t="s">
        <v>28</v>
      </c>
      <c r="G120">
        <v>19</v>
      </c>
      <c r="H120">
        <v>12673</v>
      </c>
      <c r="I120">
        <v>10280</v>
      </c>
      <c r="J120">
        <v>240787</v>
      </c>
      <c r="K120">
        <v>45467</v>
      </c>
      <c r="L120" s="4">
        <f t="shared" si="1"/>
        <v>0.18882663931192298</v>
      </c>
    </row>
    <row r="121" spans="1:12" x14ac:dyDescent="0.25">
      <c r="A121">
        <v>2120</v>
      </c>
      <c r="B121" s="1">
        <v>45411</v>
      </c>
      <c r="C121" t="s">
        <v>14</v>
      </c>
      <c r="D121" t="s">
        <v>20</v>
      </c>
      <c r="E121" t="s">
        <v>25</v>
      </c>
      <c r="F121" t="s">
        <v>30</v>
      </c>
      <c r="G121">
        <v>18</v>
      </c>
      <c r="H121">
        <v>7449</v>
      </c>
      <c r="I121">
        <v>5828</v>
      </c>
      <c r="J121">
        <v>134082</v>
      </c>
      <c r="K121">
        <v>29178</v>
      </c>
      <c r="L121" s="4">
        <f t="shared" si="1"/>
        <v>0.21761310242985635</v>
      </c>
    </row>
    <row r="122" spans="1:12" x14ac:dyDescent="0.25">
      <c r="A122">
        <v>2121</v>
      </c>
      <c r="B122" s="1">
        <v>45412</v>
      </c>
      <c r="C122" t="s">
        <v>13</v>
      </c>
      <c r="D122" t="s">
        <v>19</v>
      </c>
      <c r="E122" t="s">
        <v>25</v>
      </c>
      <c r="F122" t="s">
        <v>28</v>
      </c>
      <c r="G122">
        <v>6</v>
      </c>
      <c r="H122">
        <v>10709</v>
      </c>
      <c r="I122">
        <v>7544</v>
      </c>
      <c r="J122">
        <v>64254</v>
      </c>
      <c r="K122">
        <v>18990</v>
      </c>
      <c r="L122" s="4">
        <f t="shared" si="1"/>
        <v>0.29554580259594732</v>
      </c>
    </row>
    <row r="123" spans="1:12" x14ac:dyDescent="0.25">
      <c r="A123">
        <v>2122</v>
      </c>
      <c r="B123" s="1">
        <v>45413</v>
      </c>
      <c r="C123" t="s">
        <v>13</v>
      </c>
      <c r="D123" t="s">
        <v>15</v>
      </c>
      <c r="E123" t="s">
        <v>24</v>
      </c>
      <c r="F123" t="s">
        <v>28</v>
      </c>
      <c r="G123">
        <v>5</v>
      </c>
      <c r="H123">
        <v>52829</v>
      </c>
      <c r="I123">
        <v>45364</v>
      </c>
      <c r="J123">
        <v>264145</v>
      </c>
      <c r="K123">
        <v>37325</v>
      </c>
      <c r="L123" s="4">
        <f t="shared" si="1"/>
        <v>0.14130496507599993</v>
      </c>
    </row>
    <row r="124" spans="1:12" x14ac:dyDescent="0.25">
      <c r="A124">
        <v>2123</v>
      </c>
      <c r="B124" s="1">
        <v>45414</v>
      </c>
      <c r="C124" t="s">
        <v>14</v>
      </c>
      <c r="D124" t="s">
        <v>23</v>
      </c>
      <c r="E124" t="s">
        <v>26</v>
      </c>
      <c r="F124" t="s">
        <v>27</v>
      </c>
      <c r="G124">
        <v>5</v>
      </c>
      <c r="H124">
        <v>20356</v>
      </c>
      <c r="I124">
        <v>15218</v>
      </c>
      <c r="J124">
        <v>101780</v>
      </c>
      <c r="K124">
        <v>25690</v>
      </c>
      <c r="L124" s="4">
        <f t="shared" si="1"/>
        <v>0.25240715268225583</v>
      </c>
    </row>
    <row r="125" spans="1:12" x14ac:dyDescent="0.25">
      <c r="A125">
        <v>2124</v>
      </c>
      <c r="B125" s="1">
        <v>45415</v>
      </c>
      <c r="C125" t="s">
        <v>11</v>
      </c>
      <c r="D125" t="s">
        <v>20</v>
      </c>
      <c r="E125" t="s">
        <v>25</v>
      </c>
      <c r="F125" t="s">
        <v>30</v>
      </c>
      <c r="G125">
        <v>11</v>
      </c>
      <c r="H125">
        <v>4800</v>
      </c>
      <c r="I125">
        <v>3181</v>
      </c>
      <c r="J125">
        <v>52800</v>
      </c>
      <c r="K125">
        <v>17809</v>
      </c>
      <c r="L125" s="4">
        <f t="shared" si="1"/>
        <v>0.33729166666666666</v>
      </c>
    </row>
    <row r="126" spans="1:12" x14ac:dyDescent="0.25">
      <c r="A126">
        <v>2125</v>
      </c>
      <c r="B126" s="1">
        <v>45416</v>
      </c>
      <c r="C126" t="s">
        <v>12</v>
      </c>
      <c r="D126" t="s">
        <v>19</v>
      </c>
      <c r="E126" t="s">
        <v>25</v>
      </c>
      <c r="F126" t="s">
        <v>30</v>
      </c>
      <c r="G126">
        <v>16</v>
      </c>
      <c r="H126">
        <v>6754</v>
      </c>
      <c r="I126">
        <v>4313</v>
      </c>
      <c r="J126">
        <v>108064</v>
      </c>
      <c r="K126">
        <v>39056</v>
      </c>
      <c r="L126" s="4">
        <f t="shared" si="1"/>
        <v>0.36141545750666271</v>
      </c>
    </row>
    <row r="127" spans="1:12" x14ac:dyDescent="0.25">
      <c r="A127">
        <v>2126</v>
      </c>
      <c r="B127" s="1">
        <v>45417</v>
      </c>
      <c r="C127" t="s">
        <v>11</v>
      </c>
      <c r="D127" t="s">
        <v>18</v>
      </c>
      <c r="E127" t="s">
        <v>24</v>
      </c>
      <c r="F127" t="s">
        <v>31</v>
      </c>
      <c r="G127">
        <v>8</v>
      </c>
      <c r="H127">
        <v>22915</v>
      </c>
      <c r="I127">
        <v>18154</v>
      </c>
      <c r="J127">
        <v>183320</v>
      </c>
      <c r="K127">
        <v>38088</v>
      </c>
      <c r="L127" s="4">
        <f t="shared" si="1"/>
        <v>0.2077678376609208</v>
      </c>
    </row>
    <row r="128" spans="1:12" x14ac:dyDescent="0.25">
      <c r="A128">
        <v>2127</v>
      </c>
      <c r="B128" s="1">
        <v>45418</v>
      </c>
      <c r="C128" t="s">
        <v>13</v>
      </c>
      <c r="D128" t="s">
        <v>19</v>
      </c>
      <c r="E128" t="s">
        <v>25</v>
      </c>
      <c r="F128" t="s">
        <v>29</v>
      </c>
      <c r="G128">
        <v>18</v>
      </c>
      <c r="H128">
        <v>18771</v>
      </c>
      <c r="I128">
        <v>13931</v>
      </c>
      <c r="J128">
        <v>337878</v>
      </c>
      <c r="K128">
        <v>87120</v>
      </c>
      <c r="L128" s="4">
        <f t="shared" si="1"/>
        <v>0.2578445474402003</v>
      </c>
    </row>
    <row r="129" spans="1:12" x14ac:dyDescent="0.25">
      <c r="A129">
        <v>2128</v>
      </c>
      <c r="B129" s="1">
        <v>45419</v>
      </c>
      <c r="C129" t="s">
        <v>11</v>
      </c>
      <c r="D129" t="s">
        <v>19</v>
      </c>
      <c r="E129" t="s">
        <v>25</v>
      </c>
      <c r="F129" t="s">
        <v>29</v>
      </c>
      <c r="G129">
        <v>18</v>
      </c>
      <c r="H129">
        <v>24454</v>
      </c>
      <c r="I129">
        <v>20701</v>
      </c>
      <c r="J129">
        <v>440172</v>
      </c>
      <c r="K129">
        <v>67554</v>
      </c>
      <c r="L129" s="4">
        <f t="shared" si="1"/>
        <v>0.15347182465036394</v>
      </c>
    </row>
    <row r="130" spans="1:12" x14ac:dyDescent="0.25">
      <c r="A130">
        <v>2129</v>
      </c>
      <c r="B130" s="1">
        <v>45420</v>
      </c>
      <c r="C130" t="s">
        <v>13</v>
      </c>
      <c r="D130" t="s">
        <v>18</v>
      </c>
      <c r="E130" t="s">
        <v>24</v>
      </c>
      <c r="F130" t="s">
        <v>28</v>
      </c>
      <c r="G130">
        <v>5</v>
      </c>
      <c r="H130">
        <v>14216</v>
      </c>
      <c r="I130">
        <v>10869</v>
      </c>
      <c r="J130">
        <v>71080</v>
      </c>
      <c r="K130">
        <v>16735</v>
      </c>
      <c r="L130" s="4">
        <f t="shared" ref="L130:L193" si="2">(K130/J130)</f>
        <v>0.23543894203714125</v>
      </c>
    </row>
    <row r="131" spans="1:12" x14ac:dyDescent="0.25">
      <c r="A131">
        <v>2130</v>
      </c>
      <c r="B131" s="1">
        <v>45421</v>
      </c>
      <c r="C131" t="s">
        <v>12</v>
      </c>
      <c r="D131" t="s">
        <v>20</v>
      </c>
      <c r="E131" t="s">
        <v>25</v>
      </c>
      <c r="F131" t="s">
        <v>31</v>
      </c>
      <c r="G131">
        <v>13</v>
      </c>
      <c r="H131">
        <v>43428</v>
      </c>
      <c r="I131">
        <v>32615</v>
      </c>
      <c r="J131">
        <v>564564</v>
      </c>
      <c r="K131">
        <v>140569</v>
      </c>
      <c r="L131" s="4">
        <f t="shared" si="2"/>
        <v>0.24898682877406281</v>
      </c>
    </row>
    <row r="132" spans="1:12" x14ac:dyDescent="0.25">
      <c r="A132">
        <v>2131</v>
      </c>
      <c r="B132" s="1">
        <v>45422</v>
      </c>
      <c r="C132" t="s">
        <v>11</v>
      </c>
      <c r="D132" t="s">
        <v>21</v>
      </c>
      <c r="E132" t="s">
        <v>25</v>
      </c>
      <c r="F132" t="s">
        <v>30</v>
      </c>
      <c r="G132">
        <v>15</v>
      </c>
      <c r="H132">
        <v>23074</v>
      </c>
      <c r="I132">
        <v>18190</v>
      </c>
      <c r="J132">
        <v>346110</v>
      </c>
      <c r="K132">
        <v>73260</v>
      </c>
      <c r="L132" s="4">
        <f t="shared" si="2"/>
        <v>0.21166681112940972</v>
      </c>
    </row>
    <row r="133" spans="1:12" x14ac:dyDescent="0.25">
      <c r="A133">
        <v>2132</v>
      </c>
      <c r="B133" s="1">
        <v>45423</v>
      </c>
      <c r="C133" t="s">
        <v>13</v>
      </c>
      <c r="D133" t="s">
        <v>22</v>
      </c>
      <c r="E133" t="s">
        <v>25</v>
      </c>
      <c r="F133" t="s">
        <v>30</v>
      </c>
      <c r="G133">
        <v>8</v>
      </c>
      <c r="H133">
        <v>30221</v>
      </c>
      <c r="I133">
        <v>26004</v>
      </c>
      <c r="J133">
        <v>241768</v>
      </c>
      <c r="K133">
        <v>33736</v>
      </c>
      <c r="L133" s="4">
        <f t="shared" si="2"/>
        <v>0.13953873134575295</v>
      </c>
    </row>
    <row r="134" spans="1:12" x14ac:dyDescent="0.25">
      <c r="A134">
        <v>2133</v>
      </c>
      <c r="B134" s="1">
        <v>45424</v>
      </c>
      <c r="C134" t="s">
        <v>14</v>
      </c>
      <c r="D134" t="s">
        <v>17</v>
      </c>
      <c r="E134" t="s">
        <v>25</v>
      </c>
      <c r="F134" t="s">
        <v>28</v>
      </c>
      <c r="G134">
        <v>14</v>
      </c>
      <c r="H134">
        <v>802</v>
      </c>
      <c r="I134">
        <v>570</v>
      </c>
      <c r="J134">
        <v>11228</v>
      </c>
      <c r="K134">
        <v>3248</v>
      </c>
      <c r="L134" s="4">
        <f t="shared" si="2"/>
        <v>0.2892768079800499</v>
      </c>
    </row>
    <row r="135" spans="1:12" x14ac:dyDescent="0.25">
      <c r="A135">
        <v>2134</v>
      </c>
      <c r="B135" s="1">
        <v>45425</v>
      </c>
      <c r="C135" t="s">
        <v>14</v>
      </c>
      <c r="D135" t="s">
        <v>15</v>
      </c>
      <c r="E135" t="s">
        <v>24</v>
      </c>
      <c r="F135" t="s">
        <v>30</v>
      </c>
      <c r="G135">
        <v>13</v>
      </c>
      <c r="H135">
        <v>2625</v>
      </c>
      <c r="I135">
        <v>1939</v>
      </c>
      <c r="J135">
        <v>34125</v>
      </c>
      <c r="K135">
        <v>8918</v>
      </c>
      <c r="L135" s="4">
        <f t="shared" si="2"/>
        <v>0.26133333333333331</v>
      </c>
    </row>
    <row r="136" spans="1:12" x14ac:dyDescent="0.25">
      <c r="A136">
        <v>2135</v>
      </c>
      <c r="B136" s="1">
        <v>45426</v>
      </c>
      <c r="C136" t="s">
        <v>12</v>
      </c>
      <c r="D136" t="s">
        <v>23</v>
      </c>
      <c r="E136" t="s">
        <v>26</v>
      </c>
      <c r="F136" t="s">
        <v>28</v>
      </c>
      <c r="G136">
        <v>14</v>
      </c>
      <c r="H136">
        <v>5626</v>
      </c>
      <c r="I136">
        <v>4535</v>
      </c>
      <c r="J136">
        <v>78764</v>
      </c>
      <c r="K136">
        <v>15274</v>
      </c>
      <c r="L136" s="4">
        <f t="shared" si="2"/>
        <v>0.19392108069676503</v>
      </c>
    </row>
    <row r="137" spans="1:12" x14ac:dyDescent="0.25">
      <c r="A137">
        <v>2136</v>
      </c>
      <c r="B137" s="1">
        <v>45427</v>
      </c>
      <c r="C137" t="s">
        <v>12</v>
      </c>
      <c r="D137" t="s">
        <v>20</v>
      </c>
      <c r="E137" t="s">
        <v>25</v>
      </c>
      <c r="F137" t="s">
        <v>31</v>
      </c>
      <c r="G137">
        <v>19</v>
      </c>
      <c r="H137">
        <v>40941</v>
      </c>
      <c r="I137">
        <v>28914</v>
      </c>
      <c r="J137">
        <v>777879</v>
      </c>
      <c r="K137">
        <v>228513</v>
      </c>
      <c r="L137" s="4">
        <f t="shared" si="2"/>
        <v>0.29376419725947095</v>
      </c>
    </row>
    <row r="138" spans="1:12" x14ac:dyDescent="0.25">
      <c r="A138">
        <v>2137</v>
      </c>
      <c r="B138" s="1">
        <v>45428</v>
      </c>
      <c r="C138" t="s">
        <v>13</v>
      </c>
      <c r="D138" t="s">
        <v>15</v>
      </c>
      <c r="E138" t="s">
        <v>24</v>
      </c>
      <c r="F138" t="s">
        <v>31</v>
      </c>
      <c r="G138">
        <v>7</v>
      </c>
      <c r="H138">
        <v>46040</v>
      </c>
      <c r="I138">
        <v>30141</v>
      </c>
      <c r="J138">
        <v>322280</v>
      </c>
      <c r="K138">
        <v>111293</v>
      </c>
      <c r="L138" s="4">
        <f t="shared" si="2"/>
        <v>0.34533014769765419</v>
      </c>
    </row>
    <row r="139" spans="1:12" x14ac:dyDescent="0.25">
      <c r="A139">
        <v>2138</v>
      </c>
      <c r="B139" s="1">
        <v>45429</v>
      </c>
      <c r="C139" t="s">
        <v>13</v>
      </c>
      <c r="D139" t="s">
        <v>15</v>
      </c>
      <c r="E139" t="s">
        <v>24</v>
      </c>
      <c r="F139" t="s">
        <v>31</v>
      </c>
      <c r="G139">
        <v>12</v>
      </c>
      <c r="H139">
        <v>6729</v>
      </c>
      <c r="I139">
        <v>4698</v>
      </c>
      <c r="J139">
        <v>80748</v>
      </c>
      <c r="K139">
        <v>24372</v>
      </c>
      <c r="L139" s="4">
        <f t="shared" si="2"/>
        <v>0.30182790905037898</v>
      </c>
    </row>
    <row r="140" spans="1:12" x14ac:dyDescent="0.25">
      <c r="A140">
        <v>2139</v>
      </c>
      <c r="B140" s="1">
        <v>45430</v>
      </c>
      <c r="C140" t="s">
        <v>13</v>
      </c>
      <c r="D140" t="s">
        <v>17</v>
      </c>
      <c r="E140" t="s">
        <v>25</v>
      </c>
      <c r="F140" t="s">
        <v>27</v>
      </c>
      <c r="G140">
        <v>3</v>
      </c>
      <c r="H140">
        <v>6668</v>
      </c>
      <c r="I140">
        <v>5359</v>
      </c>
      <c r="J140">
        <v>20004</v>
      </c>
      <c r="K140">
        <v>3927</v>
      </c>
      <c r="L140" s="4">
        <f t="shared" si="2"/>
        <v>0.1963107378524295</v>
      </c>
    </row>
    <row r="141" spans="1:12" x14ac:dyDescent="0.25">
      <c r="A141">
        <v>2140</v>
      </c>
      <c r="B141" s="1">
        <v>45431</v>
      </c>
      <c r="C141" t="s">
        <v>12</v>
      </c>
      <c r="D141" t="s">
        <v>20</v>
      </c>
      <c r="E141" t="s">
        <v>25</v>
      </c>
      <c r="F141" t="s">
        <v>31</v>
      </c>
      <c r="G141">
        <v>2</v>
      </c>
      <c r="H141">
        <v>27234</v>
      </c>
      <c r="I141">
        <v>21113</v>
      </c>
      <c r="J141">
        <v>54468</v>
      </c>
      <c r="K141">
        <v>12242</v>
      </c>
      <c r="L141" s="4">
        <f t="shared" si="2"/>
        <v>0.22475581993096863</v>
      </c>
    </row>
    <row r="142" spans="1:12" x14ac:dyDescent="0.25">
      <c r="A142">
        <v>2141</v>
      </c>
      <c r="B142" s="1">
        <v>45432</v>
      </c>
      <c r="C142" t="s">
        <v>11</v>
      </c>
      <c r="D142" t="s">
        <v>19</v>
      </c>
      <c r="E142" t="s">
        <v>25</v>
      </c>
      <c r="F142" t="s">
        <v>29</v>
      </c>
      <c r="G142">
        <v>6</v>
      </c>
      <c r="H142">
        <v>16413</v>
      </c>
      <c r="I142">
        <v>11245</v>
      </c>
      <c r="J142">
        <v>98478</v>
      </c>
      <c r="K142">
        <v>31008</v>
      </c>
      <c r="L142" s="4">
        <f t="shared" si="2"/>
        <v>0.31487235727776763</v>
      </c>
    </row>
    <row r="143" spans="1:12" x14ac:dyDescent="0.25">
      <c r="A143">
        <v>2142</v>
      </c>
      <c r="B143" s="1">
        <v>45433</v>
      </c>
      <c r="C143" t="s">
        <v>13</v>
      </c>
      <c r="D143" t="s">
        <v>20</v>
      </c>
      <c r="E143" t="s">
        <v>25</v>
      </c>
      <c r="F143" t="s">
        <v>31</v>
      </c>
      <c r="G143">
        <v>6</v>
      </c>
      <c r="H143">
        <v>10667</v>
      </c>
      <c r="I143">
        <v>7994</v>
      </c>
      <c r="J143">
        <v>64002</v>
      </c>
      <c r="K143">
        <v>16038</v>
      </c>
      <c r="L143" s="4">
        <f t="shared" si="2"/>
        <v>0.25058591919002532</v>
      </c>
    </row>
    <row r="144" spans="1:12" x14ac:dyDescent="0.25">
      <c r="A144">
        <v>2143</v>
      </c>
      <c r="B144" s="1">
        <v>45434</v>
      </c>
      <c r="C144" t="s">
        <v>14</v>
      </c>
      <c r="D144" t="s">
        <v>22</v>
      </c>
      <c r="E144" t="s">
        <v>25</v>
      </c>
      <c r="F144" t="s">
        <v>28</v>
      </c>
      <c r="G144">
        <v>6</v>
      </c>
      <c r="H144">
        <v>51112</v>
      </c>
      <c r="I144">
        <v>32227</v>
      </c>
      <c r="J144">
        <v>306672</v>
      </c>
      <c r="K144">
        <v>113310</v>
      </c>
      <c r="L144" s="4">
        <f t="shared" si="2"/>
        <v>0.36948270464861482</v>
      </c>
    </row>
    <row r="145" spans="1:12" x14ac:dyDescent="0.25">
      <c r="A145">
        <v>2144</v>
      </c>
      <c r="B145" s="1">
        <v>45435</v>
      </c>
      <c r="C145" t="s">
        <v>12</v>
      </c>
      <c r="D145" t="s">
        <v>23</v>
      </c>
      <c r="E145" t="s">
        <v>26</v>
      </c>
      <c r="F145" t="s">
        <v>27</v>
      </c>
      <c r="G145">
        <v>3</v>
      </c>
      <c r="H145">
        <v>27946</v>
      </c>
      <c r="I145">
        <v>23829</v>
      </c>
      <c r="J145">
        <v>83838</v>
      </c>
      <c r="K145">
        <v>12351</v>
      </c>
      <c r="L145" s="4">
        <f t="shared" si="2"/>
        <v>0.14731983110284119</v>
      </c>
    </row>
    <row r="146" spans="1:12" x14ac:dyDescent="0.25">
      <c r="A146">
        <v>2145</v>
      </c>
      <c r="B146" s="1">
        <v>45436</v>
      </c>
      <c r="C146" t="s">
        <v>11</v>
      </c>
      <c r="D146" t="s">
        <v>17</v>
      </c>
      <c r="E146" t="s">
        <v>25</v>
      </c>
      <c r="F146" t="s">
        <v>28</v>
      </c>
      <c r="G146">
        <v>2</v>
      </c>
      <c r="H146">
        <v>9611</v>
      </c>
      <c r="I146">
        <v>6089</v>
      </c>
      <c r="J146">
        <v>19222</v>
      </c>
      <c r="K146">
        <v>7044</v>
      </c>
      <c r="L146" s="4">
        <f t="shared" si="2"/>
        <v>0.36645510352720839</v>
      </c>
    </row>
    <row r="147" spans="1:12" x14ac:dyDescent="0.25">
      <c r="A147">
        <v>2146</v>
      </c>
      <c r="B147" s="1">
        <v>45437</v>
      </c>
      <c r="C147" t="s">
        <v>14</v>
      </c>
      <c r="D147" t="s">
        <v>17</v>
      </c>
      <c r="E147" t="s">
        <v>25</v>
      </c>
      <c r="F147" t="s">
        <v>30</v>
      </c>
      <c r="G147">
        <v>17</v>
      </c>
      <c r="H147">
        <v>22850</v>
      </c>
      <c r="I147">
        <v>19311</v>
      </c>
      <c r="J147">
        <v>388450</v>
      </c>
      <c r="K147">
        <v>60163</v>
      </c>
      <c r="L147" s="4">
        <f t="shared" si="2"/>
        <v>0.1548796498905908</v>
      </c>
    </row>
    <row r="148" spans="1:12" x14ac:dyDescent="0.25">
      <c r="A148">
        <v>2147</v>
      </c>
      <c r="B148" s="1">
        <v>45438</v>
      </c>
      <c r="C148" t="s">
        <v>14</v>
      </c>
      <c r="D148" t="s">
        <v>21</v>
      </c>
      <c r="E148" t="s">
        <v>25</v>
      </c>
      <c r="F148" t="s">
        <v>30</v>
      </c>
      <c r="G148">
        <v>8</v>
      </c>
      <c r="H148">
        <v>53941</v>
      </c>
      <c r="I148">
        <v>41374</v>
      </c>
      <c r="J148">
        <v>431528</v>
      </c>
      <c r="K148">
        <v>100536</v>
      </c>
      <c r="L148" s="4">
        <f t="shared" si="2"/>
        <v>0.23297677091637159</v>
      </c>
    </row>
    <row r="149" spans="1:12" x14ac:dyDescent="0.25">
      <c r="A149">
        <v>2148</v>
      </c>
      <c r="B149" s="1">
        <v>45439</v>
      </c>
      <c r="C149" t="s">
        <v>12</v>
      </c>
      <c r="D149" t="s">
        <v>16</v>
      </c>
      <c r="E149" t="s">
        <v>25</v>
      </c>
      <c r="F149" t="s">
        <v>28</v>
      </c>
      <c r="G149">
        <v>4</v>
      </c>
      <c r="H149">
        <v>6969</v>
      </c>
      <c r="I149">
        <v>6205</v>
      </c>
      <c r="J149">
        <v>27876</v>
      </c>
      <c r="K149">
        <v>3056</v>
      </c>
      <c r="L149" s="4">
        <f t="shared" si="2"/>
        <v>0.1096283541397618</v>
      </c>
    </row>
    <row r="150" spans="1:12" x14ac:dyDescent="0.25">
      <c r="A150">
        <v>2149</v>
      </c>
      <c r="B150" s="1">
        <v>45440</v>
      </c>
      <c r="C150" t="s">
        <v>13</v>
      </c>
      <c r="D150" t="s">
        <v>22</v>
      </c>
      <c r="E150" t="s">
        <v>25</v>
      </c>
      <c r="F150" t="s">
        <v>29</v>
      </c>
      <c r="G150">
        <v>15</v>
      </c>
      <c r="H150">
        <v>46087</v>
      </c>
      <c r="I150">
        <v>31003</v>
      </c>
      <c r="J150">
        <v>691305</v>
      </c>
      <c r="K150">
        <v>226260</v>
      </c>
      <c r="L150" s="4">
        <f t="shared" si="2"/>
        <v>0.32729403085468789</v>
      </c>
    </row>
    <row r="151" spans="1:12" x14ac:dyDescent="0.25">
      <c r="A151">
        <v>2150</v>
      </c>
      <c r="B151" s="1">
        <v>45441</v>
      </c>
      <c r="C151" t="s">
        <v>13</v>
      </c>
      <c r="D151" t="s">
        <v>18</v>
      </c>
      <c r="E151" t="s">
        <v>24</v>
      </c>
      <c r="F151" t="s">
        <v>30</v>
      </c>
      <c r="G151">
        <v>4</v>
      </c>
      <c r="H151">
        <v>2328</v>
      </c>
      <c r="I151">
        <v>1750</v>
      </c>
      <c r="J151">
        <v>9312</v>
      </c>
      <c r="K151">
        <v>2312</v>
      </c>
      <c r="L151" s="4">
        <f t="shared" si="2"/>
        <v>0.24828178694158076</v>
      </c>
    </row>
    <row r="152" spans="1:12" x14ac:dyDescent="0.25">
      <c r="A152">
        <v>2151</v>
      </c>
      <c r="B152" s="1">
        <v>45442</v>
      </c>
      <c r="C152" t="s">
        <v>13</v>
      </c>
      <c r="D152" t="s">
        <v>19</v>
      </c>
      <c r="E152" t="s">
        <v>25</v>
      </c>
      <c r="F152" t="s">
        <v>29</v>
      </c>
      <c r="G152">
        <v>10</v>
      </c>
      <c r="H152">
        <v>20628</v>
      </c>
      <c r="I152">
        <v>14661</v>
      </c>
      <c r="J152">
        <v>206280</v>
      </c>
      <c r="K152">
        <v>59670</v>
      </c>
      <c r="L152" s="4">
        <f t="shared" si="2"/>
        <v>0.2892670157068063</v>
      </c>
    </row>
    <row r="153" spans="1:12" x14ac:dyDescent="0.25">
      <c r="A153">
        <v>2152</v>
      </c>
      <c r="B153" s="1">
        <v>45443</v>
      </c>
      <c r="C153" t="s">
        <v>12</v>
      </c>
      <c r="D153" t="s">
        <v>20</v>
      </c>
      <c r="E153" t="s">
        <v>25</v>
      </c>
      <c r="F153" t="s">
        <v>27</v>
      </c>
      <c r="G153">
        <v>1</v>
      </c>
      <c r="H153">
        <v>51712</v>
      </c>
      <c r="I153">
        <v>41647</v>
      </c>
      <c r="J153">
        <v>51712</v>
      </c>
      <c r="K153">
        <v>10065</v>
      </c>
      <c r="L153" s="4">
        <f t="shared" si="2"/>
        <v>0.19463567450495051</v>
      </c>
    </row>
    <row r="154" spans="1:12" x14ac:dyDescent="0.25">
      <c r="A154">
        <v>2153</v>
      </c>
      <c r="B154" s="1">
        <v>45444</v>
      </c>
      <c r="C154" t="s">
        <v>11</v>
      </c>
      <c r="D154" t="s">
        <v>21</v>
      </c>
      <c r="E154" t="s">
        <v>25</v>
      </c>
      <c r="F154" t="s">
        <v>30</v>
      </c>
      <c r="G154">
        <v>15</v>
      </c>
      <c r="H154">
        <v>19716</v>
      </c>
      <c r="I154">
        <v>12519</v>
      </c>
      <c r="J154">
        <v>295740</v>
      </c>
      <c r="K154">
        <v>107955</v>
      </c>
      <c r="L154" s="4">
        <f t="shared" si="2"/>
        <v>0.36503347534996955</v>
      </c>
    </row>
    <row r="155" spans="1:12" x14ac:dyDescent="0.25">
      <c r="A155">
        <v>2154</v>
      </c>
      <c r="B155" s="1">
        <v>45445</v>
      </c>
      <c r="C155" t="s">
        <v>14</v>
      </c>
      <c r="D155" t="s">
        <v>22</v>
      </c>
      <c r="E155" t="s">
        <v>25</v>
      </c>
      <c r="F155" t="s">
        <v>27</v>
      </c>
      <c r="G155">
        <v>12</v>
      </c>
      <c r="H155">
        <v>18488</v>
      </c>
      <c r="I155">
        <v>15699</v>
      </c>
      <c r="J155">
        <v>221856</v>
      </c>
      <c r="K155">
        <v>33468</v>
      </c>
      <c r="L155" s="4">
        <f t="shared" si="2"/>
        <v>0.15085460839463435</v>
      </c>
    </row>
    <row r="156" spans="1:12" x14ac:dyDescent="0.25">
      <c r="A156">
        <v>2155</v>
      </c>
      <c r="B156" s="1">
        <v>45446</v>
      </c>
      <c r="C156" t="s">
        <v>12</v>
      </c>
      <c r="D156" t="s">
        <v>23</v>
      </c>
      <c r="E156" t="s">
        <v>26</v>
      </c>
      <c r="F156" t="s">
        <v>30</v>
      </c>
      <c r="G156">
        <v>12</v>
      </c>
      <c r="H156">
        <v>36798</v>
      </c>
      <c r="I156">
        <v>32437</v>
      </c>
      <c r="J156">
        <v>441576</v>
      </c>
      <c r="K156">
        <v>52332</v>
      </c>
      <c r="L156" s="4">
        <f t="shared" si="2"/>
        <v>0.11851187564541552</v>
      </c>
    </row>
    <row r="157" spans="1:12" x14ac:dyDescent="0.25">
      <c r="A157">
        <v>2156</v>
      </c>
      <c r="B157" s="1">
        <v>45447</v>
      </c>
      <c r="C157" t="s">
        <v>12</v>
      </c>
      <c r="D157" t="s">
        <v>22</v>
      </c>
      <c r="E157" t="s">
        <v>25</v>
      </c>
      <c r="F157" t="s">
        <v>31</v>
      </c>
      <c r="G157">
        <v>8</v>
      </c>
      <c r="H157">
        <v>5915</v>
      </c>
      <c r="I157">
        <v>4829</v>
      </c>
      <c r="J157">
        <v>47320</v>
      </c>
      <c r="K157">
        <v>8688</v>
      </c>
      <c r="L157" s="4">
        <f t="shared" si="2"/>
        <v>0.18360101437024515</v>
      </c>
    </row>
    <row r="158" spans="1:12" x14ac:dyDescent="0.25">
      <c r="A158">
        <v>2157</v>
      </c>
      <c r="B158" s="1">
        <v>45448</v>
      </c>
      <c r="C158" t="s">
        <v>13</v>
      </c>
      <c r="D158" t="s">
        <v>16</v>
      </c>
      <c r="E158" t="s">
        <v>25</v>
      </c>
      <c r="F158" t="s">
        <v>27</v>
      </c>
      <c r="G158">
        <v>3</v>
      </c>
      <c r="H158">
        <v>56065</v>
      </c>
      <c r="I158">
        <v>47086</v>
      </c>
      <c r="J158">
        <v>168195</v>
      </c>
      <c r="K158">
        <v>26937</v>
      </c>
      <c r="L158" s="4">
        <f t="shared" si="2"/>
        <v>0.16015339338268081</v>
      </c>
    </row>
    <row r="159" spans="1:12" x14ac:dyDescent="0.25">
      <c r="A159">
        <v>2158</v>
      </c>
      <c r="B159" s="1">
        <v>45449</v>
      </c>
      <c r="C159" t="s">
        <v>13</v>
      </c>
      <c r="D159" t="s">
        <v>16</v>
      </c>
      <c r="E159" t="s">
        <v>25</v>
      </c>
      <c r="F159" t="s">
        <v>27</v>
      </c>
      <c r="G159">
        <v>4</v>
      </c>
      <c r="H159">
        <v>19782</v>
      </c>
      <c r="I159">
        <v>15816</v>
      </c>
      <c r="J159">
        <v>79128</v>
      </c>
      <c r="K159">
        <v>15864</v>
      </c>
      <c r="L159" s="4">
        <f t="shared" si="2"/>
        <v>0.20048528965726417</v>
      </c>
    </row>
    <row r="160" spans="1:12" x14ac:dyDescent="0.25">
      <c r="A160">
        <v>2159</v>
      </c>
      <c r="B160" s="1">
        <v>45450</v>
      </c>
      <c r="C160" t="s">
        <v>14</v>
      </c>
      <c r="D160" t="s">
        <v>21</v>
      </c>
      <c r="E160" t="s">
        <v>25</v>
      </c>
      <c r="F160" t="s">
        <v>30</v>
      </c>
      <c r="G160">
        <v>8</v>
      </c>
      <c r="H160">
        <v>43803</v>
      </c>
      <c r="I160">
        <v>32220</v>
      </c>
      <c r="J160">
        <v>350424</v>
      </c>
      <c r="K160">
        <v>92664</v>
      </c>
      <c r="L160" s="4">
        <f t="shared" si="2"/>
        <v>0.26443394288062461</v>
      </c>
    </row>
    <row r="161" spans="1:12" x14ac:dyDescent="0.25">
      <c r="A161">
        <v>2160</v>
      </c>
      <c r="B161" s="1">
        <v>45451</v>
      </c>
      <c r="C161" t="s">
        <v>13</v>
      </c>
      <c r="D161" t="s">
        <v>18</v>
      </c>
      <c r="E161" t="s">
        <v>24</v>
      </c>
      <c r="F161" t="s">
        <v>31</v>
      </c>
      <c r="G161">
        <v>15</v>
      </c>
      <c r="H161">
        <v>6484</v>
      </c>
      <c r="I161">
        <v>5344</v>
      </c>
      <c r="J161">
        <v>97260</v>
      </c>
      <c r="K161">
        <v>17100</v>
      </c>
      <c r="L161" s="4">
        <f t="shared" si="2"/>
        <v>0.17581739666872301</v>
      </c>
    </row>
    <row r="162" spans="1:12" x14ac:dyDescent="0.25">
      <c r="A162">
        <v>2161</v>
      </c>
      <c r="B162" s="1">
        <v>45452</v>
      </c>
      <c r="C162" t="s">
        <v>14</v>
      </c>
      <c r="D162" t="s">
        <v>22</v>
      </c>
      <c r="E162" t="s">
        <v>25</v>
      </c>
      <c r="F162" t="s">
        <v>27</v>
      </c>
      <c r="G162">
        <v>2</v>
      </c>
      <c r="H162">
        <v>34516</v>
      </c>
      <c r="I162">
        <v>24763</v>
      </c>
      <c r="J162">
        <v>69032</v>
      </c>
      <c r="K162">
        <v>19506</v>
      </c>
      <c r="L162" s="4">
        <f t="shared" si="2"/>
        <v>0.28256460771815972</v>
      </c>
    </row>
    <row r="163" spans="1:12" x14ac:dyDescent="0.25">
      <c r="A163">
        <v>2162</v>
      </c>
      <c r="B163" s="1">
        <v>45453</v>
      </c>
      <c r="C163" t="s">
        <v>14</v>
      </c>
      <c r="D163" t="s">
        <v>23</v>
      </c>
      <c r="E163" t="s">
        <v>26</v>
      </c>
      <c r="F163" t="s">
        <v>30</v>
      </c>
      <c r="G163">
        <v>19</v>
      </c>
      <c r="H163">
        <v>27227</v>
      </c>
      <c r="I163">
        <v>21435</v>
      </c>
      <c r="J163">
        <v>517313</v>
      </c>
      <c r="K163">
        <v>110048</v>
      </c>
      <c r="L163" s="4">
        <f t="shared" si="2"/>
        <v>0.21273001065119182</v>
      </c>
    </row>
    <row r="164" spans="1:12" x14ac:dyDescent="0.25">
      <c r="A164">
        <v>2163</v>
      </c>
      <c r="B164" s="1">
        <v>45454</v>
      </c>
      <c r="C164" t="s">
        <v>12</v>
      </c>
      <c r="D164" t="s">
        <v>15</v>
      </c>
      <c r="E164" t="s">
        <v>24</v>
      </c>
      <c r="F164" t="s">
        <v>27</v>
      </c>
      <c r="G164">
        <v>15</v>
      </c>
      <c r="H164">
        <v>18086</v>
      </c>
      <c r="I164">
        <v>12668</v>
      </c>
      <c r="J164">
        <v>271290</v>
      </c>
      <c r="K164">
        <v>81270</v>
      </c>
      <c r="L164" s="4">
        <f t="shared" si="2"/>
        <v>0.29956872719230343</v>
      </c>
    </row>
    <row r="165" spans="1:12" x14ac:dyDescent="0.25">
      <c r="A165">
        <v>2164</v>
      </c>
      <c r="B165" s="1">
        <v>45455</v>
      </c>
      <c r="C165" t="s">
        <v>13</v>
      </c>
      <c r="D165" t="s">
        <v>22</v>
      </c>
      <c r="E165" t="s">
        <v>25</v>
      </c>
      <c r="F165" t="s">
        <v>31</v>
      </c>
      <c r="G165">
        <v>4</v>
      </c>
      <c r="H165">
        <v>59879</v>
      </c>
      <c r="I165">
        <v>49246</v>
      </c>
      <c r="J165">
        <v>239516</v>
      </c>
      <c r="K165">
        <v>42532</v>
      </c>
      <c r="L165" s="4">
        <f t="shared" si="2"/>
        <v>0.17757477579785902</v>
      </c>
    </row>
    <row r="166" spans="1:12" x14ac:dyDescent="0.25">
      <c r="A166">
        <v>2165</v>
      </c>
      <c r="B166" s="1">
        <v>45456</v>
      </c>
      <c r="C166" t="s">
        <v>14</v>
      </c>
      <c r="D166" t="s">
        <v>22</v>
      </c>
      <c r="E166" t="s">
        <v>25</v>
      </c>
      <c r="F166" t="s">
        <v>28</v>
      </c>
      <c r="G166">
        <v>1</v>
      </c>
      <c r="H166">
        <v>44528</v>
      </c>
      <c r="I166">
        <v>30036</v>
      </c>
      <c r="J166">
        <v>44528</v>
      </c>
      <c r="K166">
        <v>14492</v>
      </c>
      <c r="L166" s="4">
        <f t="shared" si="2"/>
        <v>0.32545813869924539</v>
      </c>
    </row>
    <row r="167" spans="1:12" x14ac:dyDescent="0.25">
      <c r="A167">
        <v>2166</v>
      </c>
      <c r="B167" s="1">
        <v>45457</v>
      </c>
      <c r="C167" t="s">
        <v>13</v>
      </c>
      <c r="D167" t="s">
        <v>18</v>
      </c>
      <c r="E167" t="s">
        <v>24</v>
      </c>
      <c r="F167" t="s">
        <v>27</v>
      </c>
      <c r="G167">
        <v>10</v>
      </c>
      <c r="H167">
        <v>59701</v>
      </c>
      <c r="I167">
        <v>49476</v>
      </c>
      <c r="J167">
        <v>597010</v>
      </c>
      <c r="K167">
        <v>102250</v>
      </c>
      <c r="L167" s="4">
        <f t="shared" si="2"/>
        <v>0.17127016297884456</v>
      </c>
    </row>
    <row r="168" spans="1:12" x14ac:dyDescent="0.25">
      <c r="A168">
        <v>2167</v>
      </c>
      <c r="B168" s="1">
        <v>45458</v>
      </c>
      <c r="C168" t="s">
        <v>13</v>
      </c>
      <c r="D168" t="s">
        <v>17</v>
      </c>
      <c r="E168" t="s">
        <v>25</v>
      </c>
      <c r="F168" t="s">
        <v>27</v>
      </c>
      <c r="G168">
        <v>15</v>
      </c>
      <c r="H168">
        <v>6859</v>
      </c>
      <c r="I168">
        <v>5358</v>
      </c>
      <c r="J168">
        <v>102885</v>
      </c>
      <c r="K168">
        <v>22515</v>
      </c>
      <c r="L168" s="4">
        <f t="shared" si="2"/>
        <v>0.2188365650969529</v>
      </c>
    </row>
    <row r="169" spans="1:12" x14ac:dyDescent="0.25">
      <c r="A169">
        <v>2168</v>
      </c>
      <c r="B169" s="1">
        <v>45459</v>
      </c>
      <c r="C169" t="s">
        <v>12</v>
      </c>
      <c r="D169" t="s">
        <v>17</v>
      </c>
      <c r="E169" t="s">
        <v>25</v>
      </c>
      <c r="F169" t="s">
        <v>28</v>
      </c>
      <c r="G169">
        <v>19</v>
      </c>
      <c r="H169">
        <v>36159</v>
      </c>
      <c r="I169">
        <v>30068</v>
      </c>
      <c r="J169">
        <v>687021</v>
      </c>
      <c r="K169">
        <v>115729</v>
      </c>
      <c r="L169" s="4">
        <f t="shared" si="2"/>
        <v>0.16845045493514754</v>
      </c>
    </row>
    <row r="170" spans="1:12" x14ac:dyDescent="0.25">
      <c r="A170">
        <v>2169</v>
      </c>
      <c r="B170" s="1">
        <v>45460</v>
      </c>
      <c r="C170" t="s">
        <v>11</v>
      </c>
      <c r="D170" t="s">
        <v>17</v>
      </c>
      <c r="E170" t="s">
        <v>25</v>
      </c>
      <c r="F170" t="s">
        <v>30</v>
      </c>
      <c r="G170">
        <v>5</v>
      </c>
      <c r="H170">
        <v>34061</v>
      </c>
      <c r="I170">
        <v>23009</v>
      </c>
      <c r="J170">
        <v>170305</v>
      </c>
      <c r="K170">
        <v>55260</v>
      </c>
      <c r="L170" s="4">
        <f t="shared" si="2"/>
        <v>0.32447667420216669</v>
      </c>
    </row>
    <row r="171" spans="1:12" x14ac:dyDescent="0.25">
      <c r="A171">
        <v>2170</v>
      </c>
      <c r="B171" s="1">
        <v>45461</v>
      </c>
      <c r="C171" t="s">
        <v>14</v>
      </c>
      <c r="D171" t="s">
        <v>23</v>
      </c>
      <c r="E171" t="s">
        <v>26</v>
      </c>
      <c r="F171" t="s">
        <v>30</v>
      </c>
      <c r="G171">
        <v>15</v>
      </c>
      <c r="H171">
        <v>11289</v>
      </c>
      <c r="I171">
        <v>7543</v>
      </c>
      <c r="J171">
        <v>169335</v>
      </c>
      <c r="K171">
        <v>56190</v>
      </c>
      <c r="L171" s="4">
        <f t="shared" si="2"/>
        <v>0.33182744264328107</v>
      </c>
    </row>
    <row r="172" spans="1:12" x14ac:dyDescent="0.25">
      <c r="A172">
        <v>2171</v>
      </c>
      <c r="B172" s="1">
        <v>45462</v>
      </c>
      <c r="C172" t="s">
        <v>11</v>
      </c>
      <c r="D172" t="s">
        <v>23</v>
      </c>
      <c r="E172" t="s">
        <v>26</v>
      </c>
      <c r="F172" t="s">
        <v>28</v>
      </c>
      <c r="G172">
        <v>15</v>
      </c>
      <c r="H172">
        <v>44741</v>
      </c>
      <c r="I172">
        <v>35051</v>
      </c>
      <c r="J172">
        <v>671115</v>
      </c>
      <c r="K172">
        <v>145350</v>
      </c>
      <c r="L172" s="4">
        <f t="shared" si="2"/>
        <v>0.21657987081200689</v>
      </c>
    </row>
    <row r="173" spans="1:12" x14ac:dyDescent="0.25">
      <c r="A173">
        <v>2172</v>
      </c>
      <c r="B173" s="1">
        <v>45463</v>
      </c>
      <c r="C173" t="s">
        <v>11</v>
      </c>
      <c r="D173" t="s">
        <v>17</v>
      </c>
      <c r="E173" t="s">
        <v>25</v>
      </c>
      <c r="F173" t="s">
        <v>29</v>
      </c>
      <c r="G173">
        <v>5</v>
      </c>
      <c r="H173">
        <v>15843</v>
      </c>
      <c r="I173">
        <v>12816</v>
      </c>
      <c r="J173">
        <v>79215</v>
      </c>
      <c r="K173">
        <v>15135</v>
      </c>
      <c r="L173" s="4">
        <f t="shared" si="2"/>
        <v>0.19106229880704412</v>
      </c>
    </row>
    <row r="174" spans="1:12" x14ac:dyDescent="0.25">
      <c r="A174">
        <v>2173</v>
      </c>
      <c r="B174" s="1">
        <v>45464</v>
      </c>
      <c r="C174" t="s">
        <v>14</v>
      </c>
      <c r="D174" t="s">
        <v>22</v>
      </c>
      <c r="E174" t="s">
        <v>25</v>
      </c>
      <c r="F174" t="s">
        <v>30</v>
      </c>
      <c r="G174">
        <v>9</v>
      </c>
      <c r="H174">
        <v>42063</v>
      </c>
      <c r="I174">
        <v>29962</v>
      </c>
      <c r="J174">
        <v>378567</v>
      </c>
      <c r="K174">
        <v>108909</v>
      </c>
      <c r="L174" s="4">
        <f t="shared" si="2"/>
        <v>0.28768751634453082</v>
      </c>
    </row>
    <row r="175" spans="1:12" x14ac:dyDescent="0.25">
      <c r="A175">
        <v>2174</v>
      </c>
      <c r="B175" s="1">
        <v>45465</v>
      </c>
      <c r="C175" t="s">
        <v>14</v>
      </c>
      <c r="D175" t="s">
        <v>23</v>
      </c>
      <c r="E175" t="s">
        <v>26</v>
      </c>
      <c r="F175" t="s">
        <v>27</v>
      </c>
      <c r="G175">
        <v>1</v>
      </c>
      <c r="H175">
        <v>3868</v>
      </c>
      <c r="I175">
        <v>3394</v>
      </c>
      <c r="J175">
        <v>3868</v>
      </c>
      <c r="K175">
        <v>474</v>
      </c>
      <c r="L175" s="4">
        <f t="shared" si="2"/>
        <v>0.12254395036194415</v>
      </c>
    </row>
    <row r="176" spans="1:12" x14ac:dyDescent="0.25">
      <c r="A176">
        <v>2175</v>
      </c>
      <c r="B176" s="1">
        <v>45466</v>
      </c>
      <c r="C176" t="s">
        <v>12</v>
      </c>
      <c r="D176" t="s">
        <v>16</v>
      </c>
      <c r="E176" t="s">
        <v>25</v>
      </c>
      <c r="F176" t="s">
        <v>30</v>
      </c>
      <c r="G176">
        <v>1</v>
      </c>
      <c r="H176">
        <v>36685</v>
      </c>
      <c r="I176">
        <v>31243</v>
      </c>
      <c r="J176">
        <v>36685</v>
      </c>
      <c r="K176">
        <v>5442</v>
      </c>
      <c r="L176" s="4">
        <f t="shared" si="2"/>
        <v>0.14834400981327517</v>
      </c>
    </row>
    <row r="177" spans="1:12" x14ac:dyDescent="0.25">
      <c r="A177">
        <v>2176</v>
      </c>
      <c r="B177" s="1">
        <v>45467</v>
      </c>
      <c r="C177" t="s">
        <v>14</v>
      </c>
      <c r="D177" t="s">
        <v>23</v>
      </c>
      <c r="E177" t="s">
        <v>26</v>
      </c>
      <c r="F177" t="s">
        <v>28</v>
      </c>
      <c r="G177">
        <v>9</v>
      </c>
      <c r="H177">
        <v>3208</v>
      </c>
      <c r="I177">
        <v>2289</v>
      </c>
      <c r="J177">
        <v>28872</v>
      </c>
      <c r="K177">
        <v>8271</v>
      </c>
      <c r="L177" s="4">
        <f t="shared" si="2"/>
        <v>0.28647132169576062</v>
      </c>
    </row>
    <row r="178" spans="1:12" x14ac:dyDescent="0.25">
      <c r="A178">
        <v>2177</v>
      </c>
      <c r="B178" s="1">
        <v>45468</v>
      </c>
      <c r="C178" t="s">
        <v>12</v>
      </c>
      <c r="D178" t="s">
        <v>21</v>
      </c>
      <c r="E178" t="s">
        <v>25</v>
      </c>
      <c r="F178" t="s">
        <v>28</v>
      </c>
      <c r="G178">
        <v>3</v>
      </c>
      <c r="H178">
        <v>37480</v>
      </c>
      <c r="I178">
        <v>29276</v>
      </c>
      <c r="J178">
        <v>112440</v>
      </c>
      <c r="K178">
        <v>24612</v>
      </c>
      <c r="L178" s="4">
        <f t="shared" si="2"/>
        <v>0.21889007470651015</v>
      </c>
    </row>
    <row r="179" spans="1:12" x14ac:dyDescent="0.25">
      <c r="A179">
        <v>2178</v>
      </c>
      <c r="B179" s="1">
        <v>45469</v>
      </c>
      <c r="C179" t="s">
        <v>12</v>
      </c>
      <c r="D179" t="s">
        <v>21</v>
      </c>
      <c r="E179" t="s">
        <v>25</v>
      </c>
      <c r="F179" t="s">
        <v>29</v>
      </c>
      <c r="G179">
        <v>2</v>
      </c>
      <c r="H179">
        <v>34893</v>
      </c>
      <c r="I179">
        <v>30564</v>
      </c>
      <c r="J179">
        <v>69786</v>
      </c>
      <c r="K179">
        <v>8658</v>
      </c>
      <c r="L179" s="4">
        <f t="shared" si="2"/>
        <v>0.12406499871034304</v>
      </c>
    </row>
    <row r="180" spans="1:12" x14ac:dyDescent="0.25">
      <c r="A180">
        <v>2179</v>
      </c>
      <c r="B180" s="1">
        <v>45470</v>
      </c>
      <c r="C180" t="s">
        <v>12</v>
      </c>
      <c r="D180" t="s">
        <v>20</v>
      </c>
      <c r="E180" t="s">
        <v>25</v>
      </c>
      <c r="F180" t="s">
        <v>28</v>
      </c>
      <c r="G180">
        <v>11</v>
      </c>
      <c r="H180">
        <v>56142</v>
      </c>
      <c r="I180">
        <v>41301</v>
      </c>
      <c r="J180">
        <v>617562</v>
      </c>
      <c r="K180">
        <v>163251</v>
      </c>
      <c r="L180" s="4">
        <f t="shared" si="2"/>
        <v>0.26434754729079835</v>
      </c>
    </row>
    <row r="181" spans="1:12" x14ac:dyDescent="0.25">
      <c r="A181">
        <v>2180</v>
      </c>
      <c r="B181" s="1">
        <v>45471</v>
      </c>
      <c r="C181" t="s">
        <v>11</v>
      </c>
      <c r="D181" t="s">
        <v>19</v>
      </c>
      <c r="E181" t="s">
        <v>25</v>
      </c>
      <c r="F181" t="s">
        <v>27</v>
      </c>
      <c r="G181">
        <v>7</v>
      </c>
      <c r="H181">
        <v>50857</v>
      </c>
      <c r="I181">
        <v>33205</v>
      </c>
      <c r="J181">
        <v>355999</v>
      </c>
      <c r="K181">
        <v>123564</v>
      </c>
      <c r="L181" s="4">
        <f t="shared" si="2"/>
        <v>0.34709086261478261</v>
      </c>
    </row>
    <row r="182" spans="1:12" x14ac:dyDescent="0.25">
      <c r="A182">
        <v>2181</v>
      </c>
      <c r="B182" s="1">
        <v>45472</v>
      </c>
      <c r="C182" t="s">
        <v>14</v>
      </c>
      <c r="D182" t="s">
        <v>23</v>
      </c>
      <c r="E182" t="s">
        <v>26</v>
      </c>
      <c r="F182" t="s">
        <v>29</v>
      </c>
      <c r="G182">
        <v>11</v>
      </c>
      <c r="H182">
        <v>46740</v>
      </c>
      <c r="I182">
        <v>33125</v>
      </c>
      <c r="J182">
        <v>514140</v>
      </c>
      <c r="K182">
        <v>149765</v>
      </c>
      <c r="L182" s="4">
        <f t="shared" si="2"/>
        <v>0.29129225502781342</v>
      </c>
    </row>
    <row r="183" spans="1:12" x14ac:dyDescent="0.25">
      <c r="A183">
        <v>2182</v>
      </c>
      <c r="B183" s="1">
        <v>45473</v>
      </c>
      <c r="C183" t="s">
        <v>11</v>
      </c>
      <c r="D183" t="s">
        <v>20</v>
      </c>
      <c r="E183" t="s">
        <v>25</v>
      </c>
      <c r="F183" t="s">
        <v>31</v>
      </c>
      <c r="G183">
        <v>17</v>
      </c>
      <c r="H183">
        <v>38856</v>
      </c>
      <c r="I183">
        <v>29318</v>
      </c>
      <c r="J183">
        <v>660552</v>
      </c>
      <c r="K183">
        <v>162146</v>
      </c>
      <c r="L183" s="4">
        <f t="shared" si="2"/>
        <v>0.24547045501338274</v>
      </c>
    </row>
    <row r="184" spans="1:12" x14ac:dyDescent="0.25">
      <c r="A184">
        <v>2183</v>
      </c>
      <c r="B184" s="1">
        <v>45474</v>
      </c>
      <c r="C184" t="s">
        <v>13</v>
      </c>
      <c r="D184" t="s">
        <v>22</v>
      </c>
      <c r="E184" t="s">
        <v>25</v>
      </c>
      <c r="F184" t="s">
        <v>31</v>
      </c>
      <c r="G184">
        <v>8</v>
      </c>
      <c r="H184">
        <v>37511</v>
      </c>
      <c r="I184">
        <v>27172</v>
      </c>
      <c r="J184">
        <v>300088</v>
      </c>
      <c r="K184">
        <v>82712</v>
      </c>
      <c r="L184" s="4">
        <f t="shared" si="2"/>
        <v>0.27562581642718137</v>
      </c>
    </row>
    <row r="185" spans="1:12" x14ac:dyDescent="0.25">
      <c r="A185">
        <v>2184</v>
      </c>
      <c r="B185" s="1">
        <v>45475</v>
      </c>
      <c r="C185" t="s">
        <v>14</v>
      </c>
      <c r="D185" t="s">
        <v>15</v>
      </c>
      <c r="E185" t="s">
        <v>24</v>
      </c>
      <c r="F185" t="s">
        <v>27</v>
      </c>
      <c r="G185">
        <v>19</v>
      </c>
      <c r="H185">
        <v>2982</v>
      </c>
      <c r="I185">
        <v>1976</v>
      </c>
      <c r="J185">
        <v>56658</v>
      </c>
      <c r="K185">
        <v>19114</v>
      </c>
      <c r="L185" s="4">
        <f t="shared" si="2"/>
        <v>0.33735747820254863</v>
      </c>
    </row>
    <row r="186" spans="1:12" x14ac:dyDescent="0.25">
      <c r="A186">
        <v>2185</v>
      </c>
      <c r="B186" s="1">
        <v>45476</v>
      </c>
      <c r="C186" t="s">
        <v>11</v>
      </c>
      <c r="D186" t="s">
        <v>22</v>
      </c>
      <c r="E186" t="s">
        <v>25</v>
      </c>
      <c r="F186" t="s">
        <v>30</v>
      </c>
      <c r="G186">
        <v>16</v>
      </c>
      <c r="H186">
        <v>21408</v>
      </c>
      <c r="I186">
        <v>15270</v>
      </c>
      <c r="J186">
        <v>342528</v>
      </c>
      <c r="K186">
        <v>98208</v>
      </c>
      <c r="L186" s="4">
        <f t="shared" si="2"/>
        <v>0.28671524663677128</v>
      </c>
    </row>
    <row r="187" spans="1:12" x14ac:dyDescent="0.25">
      <c r="A187">
        <v>2186</v>
      </c>
      <c r="B187" s="1">
        <v>45477</v>
      </c>
      <c r="C187" t="s">
        <v>14</v>
      </c>
      <c r="D187" t="s">
        <v>20</v>
      </c>
      <c r="E187" t="s">
        <v>25</v>
      </c>
      <c r="F187" t="s">
        <v>29</v>
      </c>
      <c r="G187">
        <v>15</v>
      </c>
      <c r="H187">
        <v>34036</v>
      </c>
      <c r="I187">
        <v>28340</v>
      </c>
      <c r="J187">
        <v>510540</v>
      </c>
      <c r="K187">
        <v>85440</v>
      </c>
      <c r="L187" s="4">
        <f t="shared" si="2"/>
        <v>0.16735221530144553</v>
      </c>
    </row>
    <row r="188" spans="1:12" x14ac:dyDescent="0.25">
      <c r="A188">
        <v>2187</v>
      </c>
      <c r="B188" s="1">
        <v>45478</v>
      </c>
      <c r="C188" t="s">
        <v>12</v>
      </c>
      <c r="D188" t="s">
        <v>18</v>
      </c>
      <c r="E188" t="s">
        <v>24</v>
      </c>
      <c r="F188" t="s">
        <v>28</v>
      </c>
      <c r="G188">
        <v>6</v>
      </c>
      <c r="H188">
        <v>54735</v>
      </c>
      <c r="I188">
        <v>40740</v>
      </c>
      <c r="J188">
        <v>328410</v>
      </c>
      <c r="K188">
        <v>83970</v>
      </c>
      <c r="L188" s="4">
        <f t="shared" si="2"/>
        <v>0.25568648944916417</v>
      </c>
    </row>
    <row r="189" spans="1:12" x14ac:dyDescent="0.25">
      <c r="A189">
        <v>2188</v>
      </c>
      <c r="B189" s="1">
        <v>45479</v>
      </c>
      <c r="C189" t="s">
        <v>12</v>
      </c>
      <c r="D189" t="s">
        <v>22</v>
      </c>
      <c r="E189" t="s">
        <v>25</v>
      </c>
      <c r="F189" t="s">
        <v>29</v>
      </c>
      <c r="G189">
        <v>7</v>
      </c>
      <c r="H189">
        <v>52987</v>
      </c>
      <c r="I189">
        <v>45491</v>
      </c>
      <c r="J189">
        <v>370909</v>
      </c>
      <c r="K189">
        <v>52472</v>
      </c>
      <c r="L189" s="4">
        <f t="shared" si="2"/>
        <v>0.1414686621246721</v>
      </c>
    </row>
    <row r="190" spans="1:12" x14ac:dyDescent="0.25">
      <c r="A190">
        <v>2189</v>
      </c>
      <c r="B190" s="1">
        <v>45480</v>
      </c>
      <c r="C190" t="s">
        <v>12</v>
      </c>
      <c r="D190" t="s">
        <v>19</v>
      </c>
      <c r="E190" t="s">
        <v>25</v>
      </c>
      <c r="F190" t="s">
        <v>28</v>
      </c>
      <c r="G190">
        <v>1</v>
      </c>
      <c r="H190">
        <v>10593</v>
      </c>
      <c r="I190">
        <v>8029</v>
      </c>
      <c r="J190">
        <v>10593</v>
      </c>
      <c r="K190">
        <v>2564</v>
      </c>
      <c r="L190" s="4">
        <f t="shared" si="2"/>
        <v>0.24204663456999906</v>
      </c>
    </row>
    <row r="191" spans="1:12" x14ac:dyDescent="0.25">
      <c r="A191">
        <v>2190</v>
      </c>
      <c r="B191" s="1">
        <v>45481</v>
      </c>
      <c r="C191" t="s">
        <v>13</v>
      </c>
      <c r="D191" t="s">
        <v>20</v>
      </c>
      <c r="E191" t="s">
        <v>25</v>
      </c>
      <c r="F191" t="s">
        <v>30</v>
      </c>
      <c r="G191">
        <v>1</v>
      </c>
      <c r="H191">
        <v>20346</v>
      </c>
      <c r="I191">
        <v>16229</v>
      </c>
      <c r="J191">
        <v>20346</v>
      </c>
      <c r="K191">
        <v>4117</v>
      </c>
      <c r="L191" s="4">
        <f t="shared" si="2"/>
        <v>0.20234935613879879</v>
      </c>
    </row>
    <row r="192" spans="1:12" x14ac:dyDescent="0.25">
      <c r="A192">
        <v>2191</v>
      </c>
      <c r="B192" s="1">
        <v>45482</v>
      </c>
      <c r="C192" t="s">
        <v>14</v>
      </c>
      <c r="D192" t="s">
        <v>23</v>
      </c>
      <c r="E192" t="s">
        <v>26</v>
      </c>
      <c r="F192" t="s">
        <v>31</v>
      </c>
      <c r="G192">
        <v>8</v>
      </c>
      <c r="H192">
        <v>31178</v>
      </c>
      <c r="I192">
        <v>24991</v>
      </c>
      <c r="J192">
        <v>249424</v>
      </c>
      <c r="K192">
        <v>49496</v>
      </c>
      <c r="L192" s="4">
        <f t="shared" si="2"/>
        <v>0.19844120854448649</v>
      </c>
    </row>
    <row r="193" spans="1:12" x14ac:dyDescent="0.25">
      <c r="A193">
        <v>2192</v>
      </c>
      <c r="B193" s="1">
        <v>45483</v>
      </c>
      <c r="C193" t="s">
        <v>11</v>
      </c>
      <c r="D193" t="s">
        <v>16</v>
      </c>
      <c r="E193" t="s">
        <v>25</v>
      </c>
      <c r="F193" t="s">
        <v>29</v>
      </c>
      <c r="G193">
        <v>15</v>
      </c>
      <c r="H193">
        <v>7222</v>
      </c>
      <c r="I193">
        <v>6255</v>
      </c>
      <c r="J193">
        <v>108330</v>
      </c>
      <c r="K193">
        <v>14505</v>
      </c>
      <c r="L193" s="4">
        <f t="shared" si="2"/>
        <v>0.13389642758238715</v>
      </c>
    </row>
    <row r="194" spans="1:12" x14ac:dyDescent="0.25">
      <c r="A194">
        <v>2193</v>
      </c>
      <c r="B194" s="1">
        <v>45484</v>
      </c>
      <c r="C194" t="s">
        <v>12</v>
      </c>
      <c r="D194" t="s">
        <v>19</v>
      </c>
      <c r="E194" t="s">
        <v>25</v>
      </c>
      <c r="F194" t="s">
        <v>28</v>
      </c>
      <c r="G194">
        <v>14</v>
      </c>
      <c r="H194">
        <v>35411</v>
      </c>
      <c r="I194">
        <v>31750</v>
      </c>
      <c r="J194">
        <v>495754</v>
      </c>
      <c r="K194">
        <v>51254</v>
      </c>
      <c r="L194" s="4">
        <f t="shared" ref="L194:L257" si="3">(K194/J194)</f>
        <v>0.10338595351726865</v>
      </c>
    </row>
    <row r="195" spans="1:12" x14ac:dyDescent="0.25">
      <c r="A195">
        <v>2194</v>
      </c>
      <c r="B195" s="1">
        <v>45485</v>
      </c>
      <c r="C195" t="s">
        <v>12</v>
      </c>
      <c r="D195" t="s">
        <v>17</v>
      </c>
      <c r="E195" t="s">
        <v>25</v>
      </c>
      <c r="F195" t="s">
        <v>29</v>
      </c>
      <c r="G195">
        <v>14</v>
      </c>
      <c r="H195">
        <v>41624</v>
      </c>
      <c r="I195">
        <v>26736</v>
      </c>
      <c r="J195">
        <v>582736</v>
      </c>
      <c r="K195">
        <v>208432</v>
      </c>
      <c r="L195" s="4">
        <f t="shared" si="3"/>
        <v>0.35767826254084184</v>
      </c>
    </row>
    <row r="196" spans="1:12" x14ac:dyDescent="0.25">
      <c r="A196">
        <v>2195</v>
      </c>
      <c r="B196" s="1">
        <v>45486</v>
      </c>
      <c r="C196" t="s">
        <v>11</v>
      </c>
      <c r="D196" t="s">
        <v>15</v>
      </c>
      <c r="E196" t="s">
        <v>24</v>
      </c>
      <c r="F196" t="s">
        <v>27</v>
      </c>
      <c r="G196">
        <v>19</v>
      </c>
      <c r="H196">
        <v>4925</v>
      </c>
      <c r="I196">
        <v>3081</v>
      </c>
      <c r="J196">
        <v>93575</v>
      </c>
      <c r="K196">
        <v>35036</v>
      </c>
      <c r="L196" s="4">
        <f t="shared" si="3"/>
        <v>0.37441624365482234</v>
      </c>
    </row>
    <row r="197" spans="1:12" x14ac:dyDescent="0.25">
      <c r="A197">
        <v>2196</v>
      </c>
      <c r="B197" s="1">
        <v>45487</v>
      </c>
      <c r="C197" t="s">
        <v>14</v>
      </c>
      <c r="D197" t="s">
        <v>19</v>
      </c>
      <c r="E197" t="s">
        <v>25</v>
      </c>
      <c r="F197" t="s">
        <v>31</v>
      </c>
      <c r="G197">
        <v>18</v>
      </c>
      <c r="H197">
        <v>14359</v>
      </c>
      <c r="I197">
        <v>11384</v>
      </c>
      <c r="J197">
        <v>258462</v>
      </c>
      <c r="K197">
        <v>53550</v>
      </c>
      <c r="L197" s="4">
        <f t="shared" si="3"/>
        <v>0.20718713002298211</v>
      </c>
    </row>
    <row r="198" spans="1:12" x14ac:dyDescent="0.25">
      <c r="A198">
        <v>2197</v>
      </c>
      <c r="B198" s="1">
        <v>45488</v>
      </c>
      <c r="C198" t="s">
        <v>12</v>
      </c>
      <c r="D198" t="s">
        <v>16</v>
      </c>
      <c r="E198" t="s">
        <v>25</v>
      </c>
      <c r="F198" t="s">
        <v>28</v>
      </c>
      <c r="G198">
        <v>2</v>
      </c>
      <c r="H198">
        <v>22919</v>
      </c>
      <c r="I198">
        <v>16060</v>
      </c>
      <c r="J198">
        <v>45838</v>
      </c>
      <c r="K198">
        <v>13718</v>
      </c>
      <c r="L198" s="4">
        <f t="shared" si="3"/>
        <v>0.29927134691740476</v>
      </c>
    </row>
    <row r="199" spans="1:12" x14ac:dyDescent="0.25">
      <c r="A199">
        <v>2198</v>
      </c>
      <c r="B199" s="1">
        <v>45489</v>
      </c>
      <c r="C199" t="s">
        <v>14</v>
      </c>
      <c r="D199" t="s">
        <v>17</v>
      </c>
      <c r="E199" t="s">
        <v>25</v>
      </c>
      <c r="F199" t="s">
        <v>27</v>
      </c>
      <c r="G199">
        <v>9</v>
      </c>
      <c r="H199">
        <v>15096</v>
      </c>
      <c r="I199">
        <v>10620</v>
      </c>
      <c r="J199">
        <v>135864</v>
      </c>
      <c r="K199">
        <v>40284</v>
      </c>
      <c r="L199" s="4">
        <f t="shared" si="3"/>
        <v>0.29650238473767887</v>
      </c>
    </row>
    <row r="200" spans="1:12" x14ac:dyDescent="0.25">
      <c r="A200">
        <v>2199</v>
      </c>
      <c r="B200" s="1">
        <v>45490</v>
      </c>
      <c r="C200" t="s">
        <v>11</v>
      </c>
      <c r="D200" t="s">
        <v>19</v>
      </c>
      <c r="E200" t="s">
        <v>25</v>
      </c>
      <c r="F200" t="s">
        <v>31</v>
      </c>
      <c r="G200">
        <v>12</v>
      </c>
      <c r="H200">
        <v>55271</v>
      </c>
      <c r="I200">
        <v>49321</v>
      </c>
      <c r="J200">
        <v>663252</v>
      </c>
      <c r="K200">
        <v>71400</v>
      </c>
      <c r="L200" s="4">
        <f t="shared" si="3"/>
        <v>0.10765139042174016</v>
      </c>
    </row>
    <row r="201" spans="1:12" x14ac:dyDescent="0.25">
      <c r="A201">
        <v>2200</v>
      </c>
      <c r="B201" s="1">
        <v>45491</v>
      </c>
      <c r="C201" t="s">
        <v>14</v>
      </c>
      <c r="D201" t="s">
        <v>23</v>
      </c>
      <c r="E201" t="s">
        <v>26</v>
      </c>
      <c r="F201" t="s">
        <v>30</v>
      </c>
      <c r="G201">
        <v>17</v>
      </c>
      <c r="H201">
        <v>2606</v>
      </c>
      <c r="I201">
        <v>2262</v>
      </c>
      <c r="J201">
        <v>44302</v>
      </c>
      <c r="K201">
        <v>5848</v>
      </c>
      <c r="L201" s="4">
        <f t="shared" si="3"/>
        <v>0.13200306983883345</v>
      </c>
    </row>
    <row r="202" spans="1:12" x14ac:dyDescent="0.25">
      <c r="A202">
        <v>2201</v>
      </c>
      <c r="B202" s="1">
        <v>45492</v>
      </c>
      <c r="C202" t="s">
        <v>13</v>
      </c>
      <c r="D202" t="s">
        <v>22</v>
      </c>
      <c r="E202" t="s">
        <v>25</v>
      </c>
      <c r="F202" t="s">
        <v>31</v>
      </c>
      <c r="G202">
        <v>2</v>
      </c>
      <c r="H202">
        <v>3073</v>
      </c>
      <c r="I202">
        <v>2527</v>
      </c>
      <c r="J202">
        <v>6146</v>
      </c>
      <c r="K202">
        <v>1092</v>
      </c>
      <c r="L202" s="4">
        <f t="shared" si="3"/>
        <v>0.1776765375854214</v>
      </c>
    </row>
    <row r="203" spans="1:12" x14ac:dyDescent="0.25">
      <c r="A203">
        <v>2202</v>
      </c>
      <c r="B203" s="1">
        <v>45493</v>
      </c>
      <c r="C203" t="s">
        <v>14</v>
      </c>
      <c r="D203" t="s">
        <v>15</v>
      </c>
      <c r="E203" t="s">
        <v>24</v>
      </c>
      <c r="F203" t="s">
        <v>28</v>
      </c>
      <c r="G203">
        <v>11</v>
      </c>
      <c r="H203">
        <v>24252</v>
      </c>
      <c r="I203">
        <v>15565</v>
      </c>
      <c r="J203">
        <v>266772</v>
      </c>
      <c r="K203">
        <v>95557</v>
      </c>
      <c r="L203" s="4">
        <f t="shared" si="3"/>
        <v>0.35819726208147784</v>
      </c>
    </row>
    <row r="204" spans="1:12" x14ac:dyDescent="0.25">
      <c r="A204">
        <v>2203</v>
      </c>
      <c r="B204" s="1">
        <v>45494</v>
      </c>
      <c r="C204" t="s">
        <v>11</v>
      </c>
      <c r="D204" t="s">
        <v>20</v>
      </c>
      <c r="E204" t="s">
        <v>25</v>
      </c>
      <c r="F204" t="s">
        <v>27</v>
      </c>
      <c r="G204">
        <v>18</v>
      </c>
      <c r="H204">
        <v>9496</v>
      </c>
      <c r="I204">
        <v>5749</v>
      </c>
      <c r="J204">
        <v>170928</v>
      </c>
      <c r="K204">
        <v>67446</v>
      </c>
      <c r="L204" s="4">
        <f t="shared" si="3"/>
        <v>0.39458719460825609</v>
      </c>
    </row>
    <row r="205" spans="1:12" x14ac:dyDescent="0.25">
      <c r="A205">
        <v>2204</v>
      </c>
      <c r="B205" s="1">
        <v>45495</v>
      </c>
      <c r="C205" t="s">
        <v>13</v>
      </c>
      <c r="D205" t="s">
        <v>17</v>
      </c>
      <c r="E205" t="s">
        <v>25</v>
      </c>
      <c r="F205" t="s">
        <v>31</v>
      </c>
      <c r="G205">
        <v>17</v>
      </c>
      <c r="H205">
        <v>57884</v>
      </c>
      <c r="I205">
        <v>39489</v>
      </c>
      <c r="J205">
        <v>984028</v>
      </c>
      <c r="K205">
        <v>312715</v>
      </c>
      <c r="L205" s="4">
        <f t="shared" si="3"/>
        <v>0.31779075392163636</v>
      </c>
    </row>
    <row r="206" spans="1:12" x14ac:dyDescent="0.25">
      <c r="A206">
        <v>2205</v>
      </c>
      <c r="B206" s="1">
        <v>45496</v>
      </c>
      <c r="C206" t="s">
        <v>14</v>
      </c>
      <c r="D206" t="s">
        <v>18</v>
      </c>
      <c r="E206" t="s">
        <v>24</v>
      </c>
      <c r="F206" t="s">
        <v>27</v>
      </c>
      <c r="G206">
        <v>10</v>
      </c>
      <c r="H206">
        <v>13375</v>
      </c>
      <c r="I206">
        <v>8853</v>
      </c>
      <c r="J206">
        <v>133750</v>
      </c>
      <c r="K206">
        <v>45220</v>
      </c>
      <c r="L206" s="4">
        <f t="shared" si="3"/>
        <v>0.33809345794392526</v>
      </c>
    </row>
    <row r="207" spans="1:12" x14ac:dyDescent="0.25">
      <c r="A207">
        <v>2206</v>
      </c>
      <c r="B207" s="1">
        <v>45497</v>
      </c>
      <c r="C207" t="s">
        <v>14</v>
      </c>
      <c r="D207" t="s">
        <v>21</v>
      </c>
      <c r="E207" t="s">
        <v>25</v>
      </c>
      <c r="F207" t="s">
        <v>28</v>
      </c>
      <c r="G207">
        <v>8</v>
      </c>
      <c r="H207">
        <v>16146</v>
      </c>
      <c r="I207">
        <v>13920</v>
      </c>
      <c r="J207">
        <v>129168</v>
      </c>
      <c r="K207">
        <v>17808</v>
      </c>
      <c r="L207" s="4">
        <f t="shared" si="3"/>
        <v>0.13786696395392048</v>
      </c>
    </row>
    <row r="208" spans="1:12" x14ac:dyDescent="0.25">
      <c r="A208">
        <v>2207</v>
      </c>
      <c r="B208" s="1">
        <v>45498</v>
      </c>
      <c r="C208" t="s">
        <v>13</v>
      </c>
      <c r="D208" t="s">
        <v>21</v>
      </c>
      <c r="E208" t="s">
        <v>25</v>
      </c>
      <c r="F208" t="s">
        <v>29</v>
      </c>
      <c r="G208">
        <v>13</v>
      </c>
      <c r="H208">
        <v>48424</v>
      </c>
      <c r="I208">
        <v>31602</v>
      </c>
      <c r="J208">
        <v>629512</v>
      </c>
      <c r="K208">
        <v>218686</v>
      </c>
      <c r="L208" s="4">
        <f t="shared" si="3"/>
        <v>0.34738972410375019</v>
      </c>
    </row>
    <row r="209" spans="1:12" x14ac:dyDescent="0.25">
      <c r="A209">
        <v>2208</v>
      </c>
      <c r="B209" s="1">
        <v>45499</v>
      </c>
      <c r="C209" t="s">
        <v>11</v>
      </c>
      <c r="D209" t="s">
        <v>16</v>
      </c>
      <c r="E209" t="s">
        <v>25</v>
      </c>
      <c r="F209" t="s">
        <v>29</v>
      </c>
      <c r="G209">
        <v>14</v>
      </c>
      <c r="H209">
        <v>24527</v>
      </c>
      <c r="I209">
        <v>20388</v>
      </c>
      <c r="J209">
        <v>343378</v>
      </c>
      <c r="K209">
        <v>57946</v>
      </c>
      <c r="L209" s="4">
        <f t="shared" si="3"/>
        <v>0.16875280303339177</v>
      </c>
    </row>
    <row r="210" spans="1:12" x14ac:dyDescent="0.25">
      <c r="A210">
        <v>2209</v>
      </c>
      <c r="B210" s="1">
        <v>45500</v>
      </c>
      <c r="C210" t="s">
        <v>12</v>
      </c>
      <c r="D210" t="s">
        <v>18</v>
      </c>
      <c r="E210" t="s">
        <v>24</v>
      </c>
      <c r="F210" t="s">
        <v>29</v>
      </c>
      <c r="G210">
        <v>4</v>
      </c>
      <c r="H210">
        <v>51038</v>
      </c>
      <c r="I210">
        <v>33445</v>
      </c>
      <c r="J210">
        <v>204152</v>
      </c>
      <c r="K210">
        <v>70372</v>
      </c>
      <c r="L210" s="4">
        <f t="shared" si="3"/>
        <v>0.34470394607939181</v>
      </c>
    </row>
    <row r="211" spans="1:12" x14ac:dyDescent="0.25">
      <c r="A211">
        <v>2210</v>
      </c>
      <c r="B211" s="1">
        <v>45501</v>
      </c>
      <c r="C211" t="s">
        <v>13</v>
      </c>
      <c r="D211" t="s">
        <v>16</v>
      </c>
      <c r="E211" t="s">
        <v>25</v>
      </c>
      <c r="F211" t="s">
        <v>30</v>
      </c>
      <c r="G211">
        <v>4</v>
      </c>
      <c r="H211">
        <v>53502</v>
      </c>
      <c r="I211">
        <v>36734</v>
      </c>
      <c r="J211">
        <v>214008</v>
      </c>
      <c r="K211">
        <v>67072</v>
      </c>
      <c r="L211" s="4">
        <f t="shared" si="3"/>
        <v>0.3134088445291765</v>
      </c>
    </row>
    <row r="212" spans="1:12" x14ac:dyDescent="0.25">
      <c r="A212">
        <v>2211</v>
      </c>
      <c r="B212" s="1">
        <v>45502</v>
      </c>
      <c r="C212" t="s">
        <v>12</v>
      </c>
      <c r="D212" t="s">
        <v>15</v>
      </c>
      <c r="E212" t="s">
        <v>24</v>
      </c>
      <c r="F212" t="s">
        <v>27</v>
      </c>
      <c r="G212">
        <v>2</v>
      </c>
      <c r="H212">
        <v>31963</v>
      </c>
      <c r="I212">
        <v>24608</v>
      </c>
      <c r="J212">
        <v>63926</v>
      </c>
      <c r="K212">
        <v>14710</v>
      </c>
      <c r="L212" s="4">
        <f t="shared" si="3"/>
        <v>0.2301098144729844</v>
      </c>
    </row>
    <row r="213" spans="1:12" x14ac:dyDescent="0.25">
      <c r="A213">
        <v>2212</v>
      </c>
      <c r="B213" s="1">
        <v>45503</v>
      </c>
      <c r="C213" t="s">
        <v>11</v>
      </c>
      <c r="D213" t="s">
        <v>23</v>
      </c>
      <c r="E213" t="s">
        <v>26</v>
      </c>
      <c r="F213" t="s">
        <v>30</v>
      </c>
      <c r="G213">
        <v>15</v>
      </c>
      <c r="H213">
        <v>22292</v>
      </c>
      <c r="I213">
        <v>15180</v>
      </c>
      <c r="J213">
        <v>334380</v>
      </c>
      <c r="K213">
        <v>106680</v>
      </c>
      <c r="L213" s="4">
        <f t="shared" si="3"/>
        <v>0.31903821998923382</v>
      </c>
    </row>
    <row r="214" spans="1:12" x14ac:dyDescent="0.25">
      <c r="A214">
        <v>2213</v>
      </c>
      <c r="B214" s="1">
        <v>45504</v>
      </c>
      <c r="C214" t="s">
        <v>12</v>
      </c>
      <c r="D214" t="s">
        <v>19</v>
      </c>
      <c r="E214" t="s">
        <v>25</v>
      </c>
      <c r="F214" t="s">
        <v>29</v>
      </c>
      <c r="G214">
        <v>13</v>
      </c>
      <c r="H214">
        <v>32487</v>
      </c>
      <c r="I214">
        <v>19993</v>
      </c>
      <c r="J214">
        <v>422331</v>
      </c>
      <c r="K214">
        <v>162422</v>
      </c>
      <c r="L214" s="4">
        <f t="shared" si="3"/>
        <v>0.38458460307199804</v>
      </c>
    </row>
    <row r="215" spans="1:12" x14ac:dyDescent="0.25">
      <c r="A215">
        <v>2214</v>
      </c>
      <c r="B215" s="1">
        <v>45505</v>
      </c>
      <c r="C215" t="s">
        <v>13</v>
      </c>
      <c r="D215" t="s">
        <v>21</v>
      </c>
      <c r="E215" t="s">
        <v>25</v>
      </c>
      <c r="F215" t="s">
        <v>31</v>
      </c>
      <c r="G215">
        <v>9</v>
      </c>
      <c r="H215">
        <v>33421</v>
      </c>
      <c r="I215">
        <v>24807</v>
      </c>
      <c r="J215">
        <v>300789</v>
      </c>
      <c r="K215">
        <v>77526</v>
      </c>
      <c r="L215" s="4">
        <f t="shared" si="3"/>
        <v>0.25774213817659558</v>
      </c>
    </row>
    <row r="216" spans="1:12" x14ac:dyDescent="0.25">
      <c r="A216">
        <v>2215</v>
      </c>
      <c r="B216" s="1">
        <v>45506</v>
      </c>
      <c r="C216" t="s">
        <v>14</v>
      </c>
      <c r="D216" t="s">
        <v>22</v>
      </c>
      <c r="E216" t="s">
        <v>25</v>
      </c>
      <c r="F216" t="s">
        <v>31</v>
      </c>
      <c r="G216">
        <v>8</v>
      </c>
      <c r="H216">
        <v>34508</v>
      </c>
      <c r="I216">
        <v>28002</v>
      </c>
      <c r="J216">
        <v>276064</v>
      </c>
      <c r="K216">
        <v>52048</v>
      </c>
      <c r="L216" s="4">
        <f t="shared" si="3"/>
        <v>0.1885359916541092</v>
      </c>
    </row>
    <row r="217" spans="1:12" x14ac:dyDescent="0.25">
      <c r="A217">
        <v>2216</v>
      </c>
      <c r="B217" s="1">
        <v>45507</v>
      </c>
      <c r="C217" t="s">
        <v>11</v>
      </c>
      <c r="D217" t="s">
        <v>15</v>
      </c>
      <c r="E217" t="s">
        <v>24</v>
      </c>
      <c r="F217" t="s">
        <v>28</v>
      </c>
      <c r="G217">
        <v>5</v>
      </c>
      <c r="H217">
        <v>24854</v>
      </c>
      <c r="I217">
        <v>21019</v>
      </c>
      <c r="J217">
        <v>124270</v>
      </c>
      <c r="K217">
        <v>19175</v>
      </c>
      <c r="L217" s="4">
        <f t="shared" si="3"/>
        <v>0.15430111853222822</v>
      </c>
    </row>
    <row r="218" spans="1:12" x14ac:dyDescent="0.25">
      <c r="A218">
        <v>2217</v>
      </c>
      <c r="B218" s="1">
        <v>45508</v>
      </c>
      <c r="C218" t="s">
        <v>12</v>
      </c>
      <c r="D218" t="s">
        <v>19</v>
      </c>
      <c r="E218" t="s">
        <v>25</v>
      </c>
      <c r="F218" t="s">
        <v>27</v>
      </c>
      <c r="G218">
        <v>12</v>
      </c>
      <c r="H218">
        <v>20433</v>
      </c>
      <c r="I218">
        <v>12292</v>
      </c>
      <c r="J218">
        <v>245196</v>
      </c>
      <c r="K218">
        <v>97692</v>
      </c>
      <c r="L218" s="4">
        <f t="shared" si="3"/>
        <v>0.39842411784857829</v>
      </c>
    </row>
    <row r="219" spans="1:12" x14ac:dyDescent="0.25">
      <c r="A219">
        <v>2218</v>
      </c>
      <c r="B219" s="1">
        <v>45509</v>
      </c>
      <c r="C219" t="s">
        <v>12</v>
      </c>
      <c r="D219" t="s">
        <v>22</v>
      </c>
      <c r="E219" t="s">
        <v>25</v>
      </c>
      <c r="F219" t="s">
        <v>28</v>
      </c>
      <c r="G219">
        <v>17</v>
      </c>
      <c r="H219">
        <v>36272</v>
      </c>
      <c r="I219">
        <v>30359</v>
      </c>
      <c r="J219">
        <v>616624</v>
      </c>
      <c r="K219">
        <v>100521</v>
      </c>
      <c r="L219" s="4">
        <f t="shared" si="3"/>
        <v>0.16301830613145127</v>
      </c>
    </row>
    <row r="220" spans="1:12" x14ac:dyDescent="0.25">
      <c r="A220">
        <v>2219</v>
      </c>
      <c r="B220" s="1">
        <v>45510</v>
      </c>
      <c r="C220" t="s">
        <v>12</v>
      </c>
      <c r="D220" t="s">
        <v>23</v>
      </c>
      <c r="E220" t="s">
        <v>26</v>
      </c>
      <c r="F220" t="s">
        <v>27</v>
      </c>
      <c r="G220">
        <v>17</v>
      </c>
      <c r="H220">
        <v>838</v>
      </c>
      <c r="I220">
        <v>686</v>
      </c>
      <c r="J220">
        <v>14246</v>
      </c>
      <c r="K220">
        <v>2584</v>
      </c>
      <c r="L220" s="4">
        <f t="shared" si="3"/>
        <v>0.18138424821002386</v>
      </c>
    </row>
    <row r="221" spans="1:12" x14ac:dyDescent="0.25">
      <c r="A221">
        <v>2220</v>
      </c>
      <c r="B221" s="1">
        <v>45511</v>
      </c>
      <c r="C221" t="s">
        <v>13</v>
      </c>
      <c r="D221" t="s">
        <v>18</v>
      </c>
      <c r="E221" t="s">
        <v>24</v>
      </c>
      <c r="F221" t="s">
        <v>28</v>
      </c>
      <c r="G221">
        <v>18</v>
      </c>
      <c r="H221">
        <v>40387</v>
      </c>
      <c r="I221">
        <v>34521</v>
      </c>
      <c r="J221">
        <v>726966</v>
      </c>
      <c r="K221">
        <v>105588</v>
      </c>
      <c r="L221" s="4">
        <f t="shared" si="3"/>
        <v>0.14524475697625475</v>
      </c>
    </row>
    <row r="222" spans="1:12" x14ac:dyDescent="0.25">
      <c r="A222">
        <v>2221</v>
      </c>
      <c r="B222" s="1">
        <v>45512</v>
      </c>
      <c r="C222" t="s">
        <v>11</v>
      </c>
      <c r="D222" t="s">
        <v>21</v>
      </c>
      <c r="E222" t="s">
        <v>25</v>
      </c>
      <c r="F222" t="s">
        <v>31</v>
      </c>
      <c r="G222">
        <v>10</v>
      </c>
      <c r="H222">
        <v>57696</v>
      </c>
      <c r="I222">
        <v>46213</v>
      </c>
      <c r="J222">
        <v>576960</v>
      </c>
      <c r="K222">
        <v>114830</v>
      </c>
      <c r="L222" s="4">
        <f t="shared" si="3"/>
        <v>0.19902592900721019</v>
      </c>
    </row>
    <row r="223" spans="1:12" x14ac:dyDescent="0.25">
      <c r="A223">
        <v>2222</v>
      </c>
      <c r="B223" s="1">
        <v>45513</v>
      </c>
      <c r="C223" t="s">
        <v>14</v>
      </c>
      <c r="D223" t="s">
        <v>15</v>
      </c>
      <c r="E223" t="s">
        <v>24</v>
      </c>
      <c r="F223" t="s">
        <v>27</v>
      </c>
      <c r="G223">
        <v>7</v>
      </c>
      <c r="H223">
        <v>22797</v>
      </c>
      <c r="I223">
        <v>17562</v>
      </c>
      <c r="J223">
        <v>159579</v>
      </c>
      <c r="K223">
        <v>36645</v>
      </c>
      <c r="L223" s="4">
        <f t="shared" si="3"/>
        <v>0.2296354783524148</v>
      </c>
    </row>
    <row r="224" spans="1:12" x14ac:dyDescent="0.25">
      <c r="A224">
        <v>2223</v>
      </c>
      <c r="B224" s="1">
        <v>45514</v>
      </c>
      <c r="C224" t="s">
        <v>14</v>
      </c>
      <c r="D224" t="s">
        <v>15</v>
      </c>
      <c r="E224" t="s">
        <v>24</v>
      </c>
      <c r="F224" t="s">
        <v>30</v>
      </c>
      <c r="G224">
        <v>8</v>
      </c>
      <c r="H224">
        <v>4732</v>
      </c>
      <c r="I224">
        <v>3112</v>
      </c>
      <c r="J224">
        <v>37856</v>
      </c>
      <c r="K224">
        <v>12960</v>
      </c>
      <c r="L224" s="4">
        <f t="shared" si="3"/>
        <v>0.34234995773457311</v>
      </c>
    </row>
    <row r="225" spans="1:12" x14ac:dyDescent="0.25">
      <c r="A225">
        <v>2224</v>
      </c>
      <c r="B225" s="1">
        <v>45515</v>
      </c>
      <c r="C225" t="s">
        <v>12</v>
      </c>
      <c r="D225" t="s">
        <v>15</v>
      </c>
      <c r="E225" t="s">
        <v>24</v>
      </c>
      <c r="F225" t="s">
        <v>29</v>
      </c>
      <c r="G225">
        <v>7</v>
      </c>
      <c r="H225">
        <v>34768</v>
      </c>
      <c r="I225">
        <v>25807</v>
      </c>
      <c r="J225">
        <v>243376</v>
      </c>
      <c r="K225">
        <v>62727</v>
      </c>
      <c r="L225" s="4">
        <f t="shared" si="3"/>
        <v>0.25773699953980672</v>
      </c>
    </row>
    <row r="226" spans="1:12" x14ac:dyDescent="0.25">
      <c r="A226">
        <v>2225</v>
      </c>
      <c r="B226" s="1">
        <v>45516</v>
      </c>
      <c r="C226" t="s">
        <v>11</v>
      </c>
      <c r="D226" t="s">
        <v>15</v>
      </c>
      <c r="E226" t="s">
        <v>24</v>
      </c>
      <c r="F226" t="s">
        <v>28</v>
      </c>
      <c r="G226">
        <v>3</v>
      </c>
      <c r="H226">
        <v>22276</v>
      </c>
      <c r="I226">
        <v>17710</v>
      </c>
      <c r="J226">
        <v>66828</v>
      </c>
      <c r="K226">
        <v>13698</v>
      </c>
      <c r="L226" s="4">
        <f t="shared" si="3"/>
        <v>0.20497396300951698</v>
      </c>
    </row>
    <row r="227" spans="1:12" x14ac:dyDescent="0.25">
      <c r="A227">
        <v>2226</v>
      </c>
      <c r="B227" s="1">
        <v>45517</v>
      </c>
      <c r="C227" t="s">
        <v>14</v>
      </c>
      <c r="D227" t="s">
        <v>20</v>
      </c>
      <c r="E227" t="s">
        <v>25</v>
      </c>
      <c r="F227" t="s">
        <v>28</v>
      </c>
      <c r="G227">
        <v>8</v>
      </c>
      <c r="H227">
        <v>17014</v>
      </c>
      <c r="I227">
        <v>13762</v>
      </c>
      <c r="J227">
        <v>136112</v>
      </c>
      <c r="K227">
        <v>26016</v>
      </c>
      <c r="L227" s="4">
        <f t="shared" si="3"/>
        <v>0.19113671094392853</v>
      </c>
    </row>
    <row r="228" spans="1:12" x14ac:dyDescent="0.25">
      <c r="A228">
        <v>2227</v>
      </c>
      <c r="B228" s="1">
        <v>45518</v>
      </c>
      <c r="C228" t="s">
        <v>13</v>
      </c>
      <c r="D228" t="s">
        <v>15</v>
      </c>
      <c r="E228" t="s">
        <v>24</v>
      </c>
      <c r="F228" t="s">
        <v>31</v>
      </c>
      <c r="G228">
        <v>4</v>
      </c>
      <c r="H228">
        <v>57346</v>
      </c>
      <c r="I228">
        <v>48239</v>
      </c>
      <c r="J228">
        <v>229384</v>
      </c>
      <c r="K228">
        <v>36428</v>
      </c>
      <c r="L228" s="4">
        <f t="shared" si="3"/>
        <v>0.15880793778118787</v>
      </c>
    </row>
    <row r="229" spans="1:12" x14ac:dyDescent="0.25">
      <c r="A229">
        <v>2228</v>
      </c>
      <c r="B229" s="1">
        <v>45519</v>
      </c>
      <c r="C229" t="s">
        <v>11</v>
      </c>
      <c r="D229" t="s">
        <v>20</v>
      </c>
      <c r="E229" t="s">
        <v>25</v>
      </c>
      <c r="F229" t="s">
        <v>29</v>
      </c>
      <c r="G229">
        <v>10</v>
      </c>
      <c r="H229">
        <v>48788</v>
      </c>
      <c r="I229">
        <v>42240</v>
      </c>
      <c r="J229">
        <v>487880</v>
      </c>
      <c r="K229">
        <v>65480</v>
      </c>
      <c r="L229" s="4">
        <f t="shared" si="3"/>
        <v>0.13421333114700337</v>
      </c>
    </row>
    <row r="230" spans="1:12" x14ac:dyDescent="0.25">
      <c r="A230">
        <v>2229</v>
      </c>
      <c r="B230" s="1">
        <v>45520</v>
      </c>
      <c r="C230" t="s">
        <v>13</v>
      </c>
      <c r="D230" t="s">
        <v>15</v>
      </c>
      <c r="E230" t="s">
        <v>24</v>
      </c>
      <c r="F230" t="s">
        <v>29</v>
      </c>
      <c r="G230">
        <v>13</v>
      </c>
      <c r="H230">
        <v>58582</v>
      </c>
      <c r="I230">
        <v>50440</v>
      </c>
      <c r="J230">
        <v>761566</v>
      </c>
      <c r="K230">
        <v>105846</v>
      </c>
      <c r="L230" s="4">
        <f t="shared" si="3"/>
        <v>0.13898467105936976</v>
      </c>
    </row>
    <row r="231" spans="1:12" x14ac:dyDescent="0.25">
      <c r="A231">
        <v>2230</v>
      </c>
      <c r="B231" s="1">
        <v>45521</v>
      </c>
      <c r="C231" t="s">
        <v>13</v>
      </c>
      <c r="D231" t="s">
        <v>19</v>
      </c>
      <c r="E231" t="s">
        <v>25</v>
      </c>
      <c r="F231" t="s">
        <v>27</v>
      </c>
      <c r="G231">
        <v>17</v>
      </c>
      <c r="H231">
        <v>31086</v>
      </c>
      <c r="I231">
        <v>27958</v>
      </c>
      <c r="J231">
        <v>528462</v>
      </c>
      <c r="K231">
        <v>53176</v>
      </c>
      <c r="L231" s="4">
        <f t="shared" si="3"/>
        <v>0.10062407514636813</v>
      </c>
    </row>
    <row r="232" spans="1:12" x14ac:dyDescent="0.25">
      <c r="A232">
        <v>2231</v>
      </c>
      <c r="B232" s="1">
        <v>45522</v>
      </c>
      <c r="C232" t="s">
        <v>13</v>
      </c>
      <c r="D232" t="s">
        <v>21</v>
      </c>
      <c r="E232" t="s">
        <v>25</v>
      </c>
      <c r="F232" t="s">
        <v>29</v>
      </c>
      <c r="G232">
        <v>15</v>
      </c>
      <c r="H232">
        <v>33539</v>
      </c>
      <c r="I232">
        <v>28914</v>
      </c>
      <c r="J232">
        <v>503085</v>
      </c>
      <c r="K232">
        <v>69375</v>
      </c>
      <c r="L232" s="4">
        <f t="shared" si="3"/>
        <v>0.13789916216941472</v>
      </c>
    </row>
    <row r="233" spans="1:12" x14ac:dyDescent="0.25">
      <c r="A233">
        <v>2232</v>
      </c>
      <c r="B233" s="1">
        <v>45523</v>
      </c>
      <c r="C233" t="s">
        <v>13</v>
      </c>
      <c r="D233" t="s">
        <v>21</v>
      </c>
      <c r="E233" t="s">
        <v>25</v>
      </c>
      <c r="F233" t="s">
        <v>31</v>
      </c>
      <c r="G233">
        <v>5</v>
      </c>
      <c r="H233">
        <v>25074</v>
      </c>
      <c r="I233">
        <v>18213</v>
      </c>
      <c r="J233">
        <v>125370</v>
      </c>
      <c r="K233">
        <v>34305</v>
      </c>
      <c r="L233" s="4">
        <f t="shared" si="3"/>
        <v>0.2736300550370902</v>
      </c>
    </row>
    <row r="234" spans="1:12" x14ac:dyDescent="0.25">
      <c r="A234">
        <v>2233</v>
      </c>
      <c r="B234" s="1">
        <v>45524</v>
      </c>
      <c r="C234" t="s">
        <v>11</v>
      </c>
      <c r="D234" t="s">
        <v>19</v>
      </c>
      <c r="E234" t="s">
        <v>25</v>
      </c>
      <c r="F234" t="s">
        <v>29</v>
      </c>
      <c r="G234">
        <v>18</v>
      </c>
      <c r="H234">
        <v>44960</v>
      </c>
      <c r="I234">
        <v>31759</v>
      </c>
      <c r="J234">
        <v>809280</v>
      </c>
      <c r="K234">
        <v>237618</v>
      </c>
      <c r="L234" s="4">
        <f t="shared" si="3"/>
        <v>0.29361654804270465</v>
      </c>
    </row>
    <row r="235" spans="1:12" x14ac:dyDescent="0.25">
      <c r="A235">
        <v>2234</v>
      </c>
      <c r="B235" s="1">
        <v>45525</v>
      </c>
      <c r="C235" t="s">
        <v>12</v>
      </c>
      <c r="D235" t="s">
        <v>16</v>
      </c>
      <c r="E235" t="s">
        <v>25</v>
      </c>
      <c r="F235" t="s">
        <v>31</v>
      </c>
      <c r="G235">
        <v>14</v>
      </c>
      <c r="H235">
        <v>41100</v>
      </c>
      <c r="I235">
        <v>28078</v>
      </c>
      <c r="J235">
        <v>575400</v>
      </c>
      <c r="K235">
        <v>182308</v>
      </c>
      <c r="L235" s="4">
        <f t="shared" si="3"/>
        <v>0.31683698296836982</v>
      </c>
    </row>
    <row r="236" spans="1:12" x14ac:dyDescent="0.25">
      <c r="A236">
        <v>2235</v>
      </c>
      <c r="B236" s="1">
        <v>45526</v>
      </c>
      <c r="C236" t="s">
        <v>12</v>
      </c>
      <c r="D236" t="s">
        <v>22</v>
      </c>
      <c r="E236" t="s">
        <v>25</v>
      </c>
      <c r="F236" t="s">
        <v>29</v>
      </c>
      <c r="G236">
        <v>12</v>
      </c>
      <c r="H236">
        <v>57708</v>
      </c>
      <c r="I236">
        <v>46391</v>
      </c>
      <c r="J236">
        <v>692496</v>
      </c>
      <c r="K236">
        <v>135804</v>
      </c>
      <c r="L236" s="4">
        <f t="shared" si="3"/>
        <v>0.19610799195952033</v>
      </c>
    </row>
    <row r="237" spans="1:12" x14ac:dyDescent="0.25">
      <c r="A237">
        <v>2236</v>
      </c>
      <c r="B237" s="1">
        <v>45527</v>
      </c>
      <c r="C237" t="s">
        <v>12</v>
      </c>
      <c r="D237" t="s">
        <v>16</v>
      </c>
      <c r="E237" t="s">
        <v>25</v>
      </c>
      <c r="F237" t="s">
        <v>30</v>
      </c>
      <c r="G237">
        <v>6</v>
      </c>
      <c r="H237">
        <v>59952</v>
      </c>
      <c r="I237">
        <v>40629</v>
      </c>
      <c r="J237">
        <v>359712</v>
      </c>
      <c r="K237">
        <v>115938</v>
      </c>
      <c r="L237" s="4">
        <f t="shared" si="3"/>
        <v>0.32230784627702164</v>
      </c>
    </row>
    <row r="238" spans="1:12" x14ac:dyDescent="0.25">
      <c r="A238">
        <v>2237</v>
      </c>
      <c r="B238" s="1">
        <v>45528</v>
      </c>
      <c r="C238" t="s">
        <v>12</v>
      </c>
      <c r="D238" t="s">
        <v>20</v>
      </c>
      <c r="E238" t="s">
        <v>25</v>
      </c>
      <c r="F238" t="s">
        <v>28</v>
      </c>
      <c r="G238">
        <v>4</v>
      </c>
      <c r="H238">
        <v>48780</v>
      </c>
      <c r="I238">
        <v>40146</v>
      </c>
      <c r="J238">
        <v>195120</v>
      </c>
      <c r="K238">
        <v>34536</v>
      </c>
      <c r="L238" s="4">
        <f t="shared" si="3"/>
        <v>0.17699876998769987</v>
      </c>
    </row>
    <row r="239" spans="1:12" x14ac:dyDescent="0.25">
      <c r="A239">
        <v>2238</v>
      </c>
      <c r="B239" s="1">
        <v>45529</v>
      </c>
      <c r="C239" t="s">
        <v>14</v>
      </c>
      <c r="D239" t="s">
        <v>18</v>
      </c>
      <c r="E239" t="s">
        <v>24</v>
      </c>
      <c r="F239" t="s">
        <v>30</v>
      </c>
      <c r="G239">
        <v>14</v>
      </c>
      <c r="H239">
        <v>42344</v>
      </c>
      <c r="I239">
        <v>35958</v>
      </c>
      <c r="J239">
        <v>592816</v>
      </c>
      <c r="K239">
        <v>89404</v>
      </c>
      <c r="L239" s="4">
        <f t="shared" si="3"/>
        <v>0.15081239372756472</v>
      </c>
    </row>
    <row r="240" spans="1:12" x14ac:dyDescent="0.25">
      <c r="A240">
        <v>2239</v>
      </c>
      <c r="B240" s="1">
        <v>45530</v>
      </c>
      <c r="C240" t="s">
        <v>14</v>
      </c>
      <c r="D240" t="s">
        <v>20</v>
      </c>
      <c r="E240" t="s">
        <v>25</v>
      </c>
      <c r="F240" t="s">
        <v>30</v>
      </c>
      <c r="G240">
        <v>17</v>
      </c>
      <c r="H240">
        <v>50476</v>
      </c>
      <c r="I240">
        <v>33624</v>
      </c>
      <c r="J240">
        <v>858092</v>
      </c>
      <c r="K240">
        <v>286484</v>
      </c>
      <c r="L240" s="4">
        <f t="shared" si="3"/>
        <v>0.33386163721372536</v>
      </c>
    </row>
    <row r="241" spans="1:12" x14ac:dyDescent="0.25">
      <c r="A241">
        <v>2240</v>
      </c>
      <c r="B241" s="1">
        <v>45531</v>
      </c>
      <c r="C241" t="s">
        <v>12</v>
      </c>
      <c r="D241" t="s">
        <v>23</v>
      </c>
      <c r="E241" t="s">
        <v>26</v>
      </c>
      <c r="F241" t="s">
        <v>31</v>
      </c>
      <c r="G241">
        <v>15</v>
      </c>
      <c r="H241">
        <v>53497</v>
      </c>
      <c r="I241">
        <v>44949</v>
      </c>
      <c r="J241">
        <v>802455</v>
      </c>
      <c r="K241">
        <v>128220</v>
      </c>
      <c r="L241" s="4">
        <f t="shared" si="3"/>
        <v>0.15978466082210219</v>
      </c>
    </row>
    <row r="242" spans="1:12" x14ac:dyDescent="0.25">
      <c r="A242">
        <v>2241</v>
      </c>
      <c r="B242" s="1">
        <v>45532</v>
      </c>
      <c r="C242" t="s">
        <v>13</v>
      </c>
      <c r="D242" t="s">
        <v>21</v>
      </c>
      <c r="E242" t="s">
        <v>25</v>
      </c>
      <c r="F242" t="s">
        <v>30</v>
      </c>
      <c r="G242">
        <v>17</v>
      </c>
      <c r="H242">
        <v>11862</v>
      </c>
      <c r="I242">
        <v>9242</v>
      </c>
      <c r="J242">
        <v>201654</v>
      </c>
      <c r="K242">
        <v>44540</v>
      </c>
      <c r="L242" s="4">
        <f t="shared" si="3"/>
        <v>0.2208733771707975</v>
      </c>
    </row>
    <row r="243" spans="1:12" x14ac:dyDescent="0.25">
      <c r="A243">
        <v>2242</v>
      </c>
      <c r="B243" s="1">
        <v>45533</v>
      </c>
      <c r="C243" t="s">
        <v>11</v>
      </c>
      <c r="D243" t="s">
        <v>19</v>
      </c>
      <c r="E243" t="s">
        <v>25</v>
      </c>
      <c r="F243" t="s">
        <v>30</v>
      </c>
      <c r="G243">
        <v>3</v>
      </c>
      <c r="H243">
        <v>25925</v>
      </c>
      <c r="I243">
        <v>20968</v>
      </c>
      <c r="J243">
        <v>77775</v>
      </c>
      <c r="K243">
        <v>14871</v>
      </c>
      <c r="L243" s="4">
        <f t="shared" si="3"/>
        <v>0.19120540019286403</v>
      </c>
    </row>
    <row r="244" spans="1:12" x14ac:dyDescent="0.25">
      <c r="A244">
        <v>2243</v>
      </c>
      <c r="B244" s="1">
        <v>45534</v>
      </c>
      <c r="C244" t="s">
        <v>13</v>
      </c>
      <c r="D244" t="s">
        <v>18</v>
      </c>
      <c r="E244" t="s">
        <v>24</v>
      </c>
      <c r="F244" t="s">
        <v>31</v>
      </c>
      <c r="G244">
        <v>15</v>
      </c>
      <c r="H244">
        <v>54528</v>
      </c>
      <c r="I244">
        <v>36378</v>
      </c>
      <c r="J244">
        <v>817920</v>
      </c>
      <c r="K244">
        <v>272250</v>
      </c>
      <c r="L244" s="4">
        <f t="shared" si="3"/>
        <v>0.33285651408450706</v>
      </c>
    </row>
    <row r="245" spans="1:12" x14ac:dyDescent="0.25">
      <c r="A245">
        <v>2244</v>
      </c>
      <c r="B245" s="1">
        <v>45535</v>
      </c>
      <c r="C245" t="s">
        <v>13</v>
      </c>
      <c r="D245" t="s">
        <v>17</v>
      </c>
      <c r="E245" t="s">
        <v>25</v>
      </c>
      <c r="F245" t="s">
        <v>30</v>
      </c>
      <c r="G245">
        <v>11</v>
      </c>
      <c r="H245">
        <v>35201</v>
      </c>
      <c r="I245">
        <v>30203</v>
      </c>
      <c r="J245">
        <v>387211</v>
      </c>
      <c r="K245">
        <v>54978</v>
      </c>
      <c r="L245" s="4">
        <f t="shared" si="3"/>
        <v>0.14198460271015029</v>
      </c>
    </row>
    <row r="246" spans="1:12" x14ac:dyDescent="0.25">
      <c r="A246">
        <v>2245</v>
      </c>
      <c r="B246" s="1">
        <v>45536</v>
      </c>
      <c r="C246" t="s">
        <v>14</v>
      </c>
      <c r="D246" t="s">
        <v>21</v>
      </c>
      <c r="E246" t="s">
        <v>25</v>
      </c>
      <c r="F246" t="s">
        <v>31</v>
      </c>
      <c r="G246">
        <v>12</v>
      </c>
      <c r="H246">
        <v>18102</v>
      </c>
      <c r="I246">
        <v>16050</v>
      </c>
      <c r="J246">
        <v>217224</v>
      </c>
      <c r="K246">
        <v>24624</v>
      </c>
      <c r="L246" s="4">
        <f t="shared" si="3"/>
        <v>0.11335764003977461</v>
      </c>
    </row>
    <row r="247" spans="1:12" x14ac:dyDescent="0.25">
      <c r="A247">
        <v>2246</v>
      </c>
      <c r="B247" s="1">
        <v>45537</v>
      </c>
      <c r="C247" t="s">
        <v>11</v>
      </c>
      <c r="D247" t="s">
        <v>23</v>
      </c>
      <c r="E247" t="s">
        <v>26</v>
      </c>
      <c r="F247" t="s">
        <v>28</v>
      </c>
      <c r="G247">
        <v>2</v>
      </c>
      <c r="H247">
        <v>43020</v>
      </c>
      <c r="I247">
        <v>32921</v>
      </c>
      <c r="J247">
        <v>86040</v>
      </c>
      <c r="K247">
        <v>20198</v>
      </c>
      <c r="L247" s="4">
        <f t="shared" si="3"/>
        <v>0.23475127847512783</v>
      </c>
    </row>
    <row r="248" spans="1:12" x14ac:dyDescent="0.25">
      <c r="A248">
        <v>2247</v>
      </c>
      <c r="B248" s="1">
        <v>45538</v>
      </c>
      <c r="C248" t="s">
        <v>14</v>
      </c>
      <c r="D248" t="s">
        <v>18</v>
      </c>
      <c r="E248" t="s">
        <v>24</v>
      </c>
      <c r="F248" t="s">
        <v>29</v>
      </c>
      <c r="G248">
        <v>16</v>
      </c>
      <c r="H248">
        <v>15163</v>
      </c>
      <c r="I248">
        <v>12262</v>
      </c>
      <c r="J248">
        <v>242608</v>
      </c>
      <c r="K248">
        <v>46416</v>
      </c>
      <c r="L248" s="4">
        <f t="shared" si="3"/>
        <v>0.19132097869814679</v>
      </c>
    </row>
    <row r="249" spans="1:12" x14ac:dyDescent="0.25">
      <c r="A249">
        <v>2248</v>
      </c>
      <c r="B249" s="1">
        <v>45539</v>
      </c>
      <c r="C249" t="s">
        <v>11</v>
      </c>
      <c r="D249" t="s">
        <v>18</v>
      </c>
      <c r="E249" t="s">
        <v>24</v>
      </c>
      <c r="F249" t="s">
        <v>27</v>
      </c>
      <c r="G249">
        <v>13</v>
      </c>
      <c r="H249">
        <v>41496</v>
      </c>
      <c r="I249">
        <v>27638</v>
      </c>
      <c r="J249">
        <v>539448</v>
      </c>
      <c r="K249">
        <v>180154</v>
      </c>
      <c r="L249" s="4">
        <f t="shared" si="3"/>
        <v>0.33395989974937346</v>
      </c>
    </row>
    <row r="250" spans="1:12" x14ac:dyDescent="0.25">
      <c r="A250">
        <v>2249</v>
      </c>
      <c r="B250" s="1">
        <v>45540</v>
      </c>
      <c r="C250" t="s">
        <v>14</v>
      </c>
      <c r="D250" t="s">
        <v>22</v>
      </c>
      <c r="E250" t="s">
        <v>25</v>
      </c>
      <c r="F250" t="s">
        <v>30</v>
      </c>
      <c r="G250">
        <v>19</v>
      </c>
      <c r="H250">
        <v>38501</v>
      </c>
      <c r="I250">
        <v>28819</v>
      </c>
      <c r="J250">
        <v>731519</v>
      </c>
      <c r="K250">
        <v>183958</v>
      </c>
      <c r="L250" s="4">
        <f t="shared" si="3"/>
        <v>0.25147398768863144</v>
      </c>
    </row>
    <row r="251" spans="1:12" x14ac:dyDescent="0.25">
      <c r="A251">
        <v>2250</v>
      </c>
      <c r="B251" s="1">
        <v>45541</v>
      </c>
      <c r="C251" t="s">
        <v>13</v>
      </c>
      <c r="D251" t="s">
        <v>23</v>
      </c>
      <c r="E251" t="s">
        <v>26</v>
      </c>
      <c r="F251" t="s">
        <v>31</v>
      </c>
      <c r="G251">
        <v>13</v>
      </c>
      <c r="H251">
        <v>11803</v>
      </c>
      <c r="I251">
        <v>9482</v>
      </c>
      <c r="J251">
        <v>153439</v>
      </c>
      <c r="K251">
        <v>30173</v>
      </c>
      <c r="L251" s="4">
        <f t="shared" si="3"/>
        <v>0.19664492078285181</v>
      </c>
    </row>
    <row r="252" spans="1:12" x14ac:dyDescent="0.25">
      <c r="A252">
        <v>2251</v>
      </c>
      <c r="B252" s="1">
        <v>45542</v>
      </c>
      <c r="C252" t="s">
        <v>11</v>
      </c>
      <c r="D252" t="s">
        <v>18</v>
      </c>
      <c r="E252" t="s">
        <v>24</v>
      </c>
      <c r="F252" t="s">
        <v>31</v>
      </c>
      <c r="G252">
        <v>8</v>
      </c>
      <c r="H252">
        <v>21195</v>
      </c>
      <c r="I252">
        <v>17787</v>
      </c>
      <c r="J252">
        <v>169560</v>
      </c>
      <c r="K252">
        <v>27264</v>
      </c>
      <c r="L252" s="4">
        <f t="shared" si="3"/>
        <v>0.1607926397735315</v>
      </c>
    </row>
    <row r="253" spans="1:12" x14ac:dyDescent="0.25">
      <c r="A253">
        <v>2252</v>
      </c>
      <c r="B253" s="1">
        <v>45543</v>
      </c>
      <c r="C253" t="s">
        <v>11</v>
      </c>
      <c r="D253" t="s">
        <v>21</v>
      </c>
      <c r="E253" t="s">
        <v>25</v>
      </c>
      <c r="F253" t="s">
        <v>30</v>
      </c>
      <c r="G253">
        <v>10</v>
      </c>
      <c r="H253">
        <v>40192</v>
      </c>
      <c r="I253">
        <v>34207</v>
      </c>
      <c r="J253">
        <v>401920</v>
      </c>
      <c r="K253">
        <v>59850</v>
      </c>
      <c r="L253" s="4">
        <f t="shared" si="3"/>
        <v>0.14891023089171976</v>
      </c>
    </row>
    <row r="254" spans="1:12" x14ac:dyDescent="0.25">
      <c r="A254">
        <v>2253</v>
      </c>
      <c r="B254" s="1">
        <v>45544</v>
      </c>
      <c r="C254" t="s">
        <v>13</v>
      </c>
      <c r="D254" t="s">
        <v>18</v>
      </c>
      <c r="E254" t="s">
        <v>24</v>
      </c>
      <c r="F254" t="s">
        <v>29</v>
      </c>
      <c r="G254">
        <v>11</v>
      </c>
      <c r="H254">
        <v>54447</v>
      </c>
      <c r="I254">
        <v>35258</v>
      </c>
      <c r="J254">
        <v>598917</v>
      </c>
      <c r="K254">
        <v>211079</v>
      </c>
      <c r="L254" s="4">
        <f t="shared" si="3"/>
        <v>0.35243447756533874</v>
      </c>
    </row>
    <row r="255" spans="1:12" x14ac:dyDescent="0.25">
      <c r="A255">
        <v>2254</v>
      </c>
      <c r="B255" s="1">
        <v>45545</v>
      </c>
      <c r="C255" t="s">
        <v>14</v>
      </c>
      <c r="D255" t="s">
        <v>21</v>
      </c>
      <c r="E255" t="s">
        <v>25</v>
      </c>
      <c r="F255" t="s">
        <v>30</v>
      </c>
      <c r="G255">
        <v>10</v>
      </c>
      <c r="H255">
        <v>49638</v>
      </c>
      <c r="I255">
        <v>42873</v>
      </c>
      <c r="J255">
        <v>496380</v>
      </c>
      <c r="K255">
        <v>67650</v>
      </c>
      <c r="L255" s="4">
        <f t="shared" si="3"/>
        <v>0.1362867158225553</v>
      </c>
    </row>
    <row r="256" spans="1:12" x14ac:dyDescent="0.25">
      <c r="A256">
        <v>2255</v>
      </c>
      <c r="B256" s="1">
        <v>45546</v>
      </c>
      <c r="C256" t="s">
        <v>11</v>
      </c>
      <c r="D256" t="s">
        <v>16</v>
      </c>
      <c r="E256" t="s">
        <v>25</v>
      </c>
      <c r="F256" t="s">
        <v>29</v>
      </c>
      <c r="G256">
        <v>18</v>
      </c>
      <c r="H256">
        <v>37009</v>
      </c>
      <c r="I256">
        <v>32294</v>
      </c>
      <c r="J256">
        <v>666162</v>
      </c>
      <c r="K256">
        <v>84870</v>
      </c>
      <c r="L256" s="4">
        <f t="shared" si="3"/>
        <v>0.12740144289226946</v>
      </c>
    </row>
    <row r="257" spans="1:12" x14ac:dyDescent="0.25">
      <c r="A257">
        <v>2256</v>
      </c>
      <c r="B257" s="1">
        <v>45547</v>
      </c>
      <c r="C257" t="s">
        <v>12</v>
      </c>
      <c r="D257" t="s">
        <v>15</v>
      </c>
      <c r="E257" t="s">
        <v>24</v>
      </c>
      <c r="F257" t="s">
        <v>31</v>
      </c>
      <c r="G257">
        <v>14</v>
      </c>
      <c r="H257">
        <v>10677</v>
      </c>
      <c r="I257">
        <v>7325</v>
      </c>
      <c r="J257">
        <v>149478</v>
      </c>
      <c r="K257">
        <v>46928</v>
      </c>
      <c r="L257" s="4">
        <f t="shared" si="3"/>
        <v>0.31394586494333615</v>
      </c>
    </row>
    <row r="258" spans="1:12" x14ac:dyDescent="0.25">
      <c r="A258">
        <v>2257</v>
      </c>
      <c r="B258" s="1">
        <v>45548</v>
      </c>
      <c r="C258" t="s">
        <v>11</v>
      </c>
      <c r="D258" t="s">
        <v>21</v>
      </c>
      <c r="E258" t="s">
        <v>25</v>
      </c>
      <c r="F258" t="s">
        <v>27</v>
      </c>
      <c r="G258">
        <v>2</v>
      </c>
      <c r="H258">
        <v>35332</v>
      </c>
      <c r="I258">
        <v>22427</v>
      </c>
      <c r="J258">
        <v>70664</v>
      </c>
      <c r="K258">
        <v>25810</v>
      </c>
      <c r="L258" s="4">
        <f t="shared" ref="L258:L301" si="4">(K258/J258)</f>
        <v>0.36524963206158723</v>
      </c>
    </row>
    <row r="259" spans="1:12" x14ac:dyDescent="0.25">
      <c r="A259">
        <v>2258</v>
      </c>
      <c r="B259" s="1">
        <v>45549</v>
      </c>
      <c r="C259" t="s">
        <v>14</v>
      </c>
      <c r="D259" t="s">
        <v>19</v>
      </c>
      <c r="E259" t="s">
        <v>25</v>
      </c>
      <c r="F259" t="s">
        <v>31</v>
      </c>
      <c r="G259">
        <v>7</v>
      </c>
      <c r="H259">
        <v>1507</v>
      </c>
      <c r="I259">
        <v>952</v>
      </c>
      <c r="J259">
        <v>10549</v>
      </c>
      <c r="K259">
        <v>3885</v>
      </c>
      <c r="L259" s="4">
        <f t="shared" si="4"/>
        <v>0.36828135368281356</v>
      </c>
    </row>
    <row r="260" spans="1:12" x14ac:dyDescent="0.25">
      <c r="A260">
        <v>2259</v>
      </c>
      <c r="B260" s="1">
        <v>45550</v>
      </c>
      <c r="C260" t="s">
        <v>13</v>
      </c>
      <c r="D260" t="s">
        <v>20</v>
      </c>
      <c r="E260" t="s">
        <v>25</v>
      </c>
      <c r="F260" t="s">
        <v>28</v>
      </c>
      <c r="G260">
        <v>5</v>
      </c>
      <c r="H260">
        <v>1935</v>
      </c>
      <c r="I260">
        <v>1528</v>
      </c>
      <c r="J260">
        <v>9675</v>
      </c>
      <c r="K260">
        <v>2035</v>
      </c>
      <c r="L260" s="4">
        <f t="shared" si="4"/>
        <v>0.21033591731266149</v>
      </c>
    </row>
    <row r="261" spans="1:12" x14ac:dyDescent="0.25">
      <c r="A261">
        <v>2260</v>
      </c>
      <c r="B261" s="1">
        <v>45551</v>
      </c>
      <c r="C261" t="s">
        <v>12</v>
      </c>
      <c r="D261" t="s">
        <v>17</v>
      </c>
      <c r="E261" t="s">
        <v>25</v>
      </c>
      <c r="F261" t="s">
        <v>31</v>
      </c>
      <c r="G261">
        <v>4</v>
      </c>
      <c r="H261">
        <v>18771</v>
      </c>
      <c r="I261">
        <v>15603</v>
      </c>
      <c r="J261">
        <v>75084</v>
      </c>
      <c r="K261">
        <v>12672</v>
      </c>
      <c r="L261" s="4">
        <f t="shared" si="4"/>
        <v>0.16877097650631293</v>
      </c>
    </row>
    <row r="262" spans="1:12" x14ac:dyDescent="0.25">
      <c r="A262">
        <v>2261</v>
      </c>
      <c r="B262" s="1">
        <v>45552</v>
      </c>
      <c r="C262" t="s">
        <v>14</v>
      </c>
      <c r="D262" t="s">
        <v>18</v>
      </c>
      <c r="E262" t="s">
        <v>24</v>
      </c>
      <c r="F262" t="s">
        <v>27</v>
      </c>
      <c r="G262">
        <v>18</v>
      </c>
      <c r="H262">
        <v>8573</v>
      </c>
      <c r="I262">
        <v>6361</v>
      </c>
      <c r="J262">
        <v>154314</v>
      </c>
      <c r="K262">
        <v>39816</v>
      </c>
      <c r="L262" s="4">
        <f t="shared" si="4"/>
        <v>0.25801936311676194</v>
      </c>
    </row>
    <row r="263" spans="1:12" x14ac:dyDescent="0.25">
      <c r="A263">
        <v>2262</v>
      </c>
      <c r="B263" s="1">
        <v>45553</v>
      </c>
      <c r="C263" t="s">
        <v>12</v>
      </c>
      <c r="D263" t="s">
        <v>17</v>
      </c>
      <c r="E263" t="s">
        <v>25</v>
      </c>
      <c r="F263" t="s">
        <v>27</v>
      </c>
      <c r="G263">
        <v>12</v>
      </c>
      <c r="H263">
        <v>25838</v>
      </c>
      <c r="I263">
        <v>16511</v>
      </c>
      <c r="J263">
        <v>310056</v>
      </c>
      <c r="K263">
        <v>111924</v>
      </c>
      <c r="L263" s="4">
        <f t="shared" si="4"/>
        <v>0.36097995200866939</v>
      </c>
    </row>
    <row r="264" spans="1:12" x14ac:dyDescent="0.25">
      <c r="A264">
        <v>2263</v>
      </c>
      <c r="B264" s="1">
        <v>45554</v>
      </c>
      <c r="C264" t="s">
        <v>12</v>
      </c>
      <c r="D264" t="s">
        <v>22</v>
      </c>
      <c r="E264" t="s">
        <v>25</v>
      </c>
      <c r="F264" t="s">
        <v>29</v>
      </c>
      <c r="G264">
        <v>19</v>
      </c>
      <c r="H264">
        <v>8313</v>
      </c>
      <c r="I264">
        <v>5915</v>
      </c>
      <c r="J264">
        <v>157947</v>
      </c>
      <c r="K264">
        <v>45562</v>
      </c>
      <c r="L264" s="4">
        <f t="shared" si="4"/>
        <v>0.28846385179838807</v>
      </c>
    </row>
    <row r="265" spans="1:12" x14ac:dyDescent="0.25">
      <c r="A265">
        <v>2264</v>
      </c>
      <c r="B265" s="1">
        <v>45555</v>
      </c>
      <c r="C265" t="s">
        <v>13</v>
      </c>
      <c r="D265" t="s">
        <v>15</v>
      </c>
      <c r="E265" t="s">
        <v>24</v>
      </c>
      <c r="F265" t="s">
        <v>28</v>
      </c>
      <c r="G265">
        <v>2</v>
      </c>
      <c r="H265">
        <v>45069</v>
      </c>
      <c r="I265">
        <v>29190</v>
      </c>
      <c r="J265">
        <v>90138</v>
      </c>
      <c r="K265">
        <v>31758</v>
      </c>
      <c r="L265" s="4">
        <f t="shared" si="4"/>
        <v>0.35232643280303533</v>
      </c>
    </row>
    <row r="266" spans="1:12" x14ac:dyDescent="0.25">
      <c r="A266">
        <v>2265</v>
      </c>
      <c r="B266" s="1">
        <v>45556</v>
      </c>
      <c r="C266" t="s">
        <v>12</v>
      </c>
      <c r="D266" t="s">
        <v>22</v>
      </c>
      <c r="E266" t="s">
        <v>25</v>
      </c>
      <c r="F266" t="s">
        <v>27</v>
      </c>
      <c r="G266">
        <v>7</v>
      </c>
      <c r="H266">
        <v>24150</v>
      </c>
      <c r="I266">
        <v>17760</v>
      </c>
      <c r="J266">
        <v>169050</v>
      </c>
      <c r="K266">
        <v>44730</v>
      </c>
      <c r="L266" s="4">
        <f t="shared" si="4"/>
        <v>0.26459627329192548</v>
      </c>
    </row>
    <row r="267" spans="1:12" x14ac:dyDescent="0.25">
      <c r="A267">
        <v>2266</v>
      </c>
      <c r="B267" s="1">
        <v>45557</v>
      </c>
      <c r="C267" t="s">
        <v>11</v>
      </c>
      <c r="D267" t="s">
        <v>17</v>
      </c>
      <c r="E267" t="s">
        <v>25</v>
      </c>
      <c r="F267" t="s">
        <v>30</v>
      </c>
      <c r="G267">
        <v>14</v>
      </c>
      <c r="H267">
        <v>51475</v>
      </c>
      <c r="I267">
        <v>32157</v>
      </c>
      <c r="J267">
        <v>720650</v>
      </c>
      <c r="K267">
        <v>270452</v>
      </c>
      <c r="L267" s="4">
        <f t="shared" si="4"/>
        <v>0.37528897523069449</v>
      </c>
    </row>
    <row r="268" spans="1:12" x14ac:dyDescent="0.25">
      <c r="A268">
        <v>2267</v>
      </c>
      <c r="B268" s="1">
        <v>45558</v>
      </c>
      <c r="C268" t="s">
        <v>11</v>
      </c>
      <c r="D268" t="s">
        <v>19</v>
      </c>
      <c r="E268" t="s">
        <v>25</v>
      </c>
      <c r="F268" t="s">
        <v>27</v>
      </c>
      <c r="G268">
        <v>15</v>
      </c>
      <c r="H268">
        <v>52548</v>
      </c>
      <c r="I268">
        <v>46713</v>
      </c>
      <c r="J268">
        <v>788220</v>
      </c>
      <c r="K268">
        <v>87525</v>
      </c>
      <c r="L268" s="4">
        <f t="shared" si="4"/>
        <v>0.11104133363781685</v>
      </c>
    </row>
    <row r="269" spans="1:12" x14ac:dyDescent="0.25">
      <c r="A269">
        <v>2268</v>
      </c>
      <c r="B269" s="1">
        <v>45559</v>
      </c>
      <c r="C269" t="s">
        <v>12</v>
      </c>
      <c r="D269" t="s">
        <v>17</v>
      </c>
      <c r="E269" t="s">
        <v>25</v>
      </c>
      <c r="F269" t="s">
        <v>30</v>
      </c>
      <c r="G269">
        <v>5</v>
      </c>
      <c r="H269">
        <v>49401</v>
      </c>
      <c r="I269">
        <v>40905</v>
      </c>
      <c r="J269">
        <v>247005</v>
      </c>
      <c r="K269">
        <v>42480</v>
      </c>
      <c r="L269" s="4">
        <f t="shared" si="4"/>
        <v>0.17198032428493351</v>
      </c>
    </row>
    <row r="270" spans="1:12" x14ac:dyDescent="0.25">
      <c r="A270">
        <v>2269</v>
      </c>
      <c r="B270" s="1">
        <v>45560</v>
      </c>
      <c r="C270" t="s">
        <v>14</v>
      </c>
      <c r="D270" t="s">
        <v>22</v>
      </c>
      <c r="E270" t="s">
        <v>25</v>
      </c>
      <c r="F270" t="s">
        <v>27</v>
      </c>
      <c r="G270">
        <v>15</v>
      </c>
      <c r="H270">
        <v>13357</v>
      </c>
      <c r="I270">
        <v>11596</v>
      </c>
      <c r="J270">
        <v>200355</v>
      </c>
      <c r="K270">
        <v>26415</v>
      </c>
      <c r="L270" s="4">
        <f t="shared" si="4"/>
        <v>0.13184098225649471</v>
      </c>
    </row>
    <row r="271" spans="1:12" x14ac:dyDescent="0.25">
      <c r="A271">
        <v>2270</v>
      </c>
      <c r="B271" s="1">
        <v>45561</v>
      </c>
      <c r="C271" t="s">
        <v>14</v>
      </c>
      <c r="D271" t="s">
        <v>19</v>
      </c>
      <c r="E271" t="s">
        <v>25</v>
      </c>
      <c r="F271" t="s">
        <v>28</v>
      </c>
      <c r="G271">
        <v>12</v>
      </c>
      <c r="H271">
        <v>26931</v>
      </c>
      <c r="I271">
        <v>23172</v>
      </c>
      <c r="J271">
        <v>323172</v>
      </c>
      <c r="K271">
        <v>45108</v>
      </c>
      <c r="L271" s="4">
        <f t="shared" si="4"/>
        <v>0.13957892391667595</v>
      </c>
    </row>
    <row r="272" spans="1:12" x14ac:dyDescent="0.25">
      <c r="A272">
        <v>2271</v>
      </c>
      <c r="B272" s="1">
        <v>45562</v>
      </c>
      <c r="C272" t="s">
        <v>13</v>
      </c>
      <c r="D272" t="s">
        <v>23</v>
      </c>
      <c r="E272" t="s">
        <v>26</v>
      </c>
      <c r="F272" t="s">
        <v>27</v>
      </c>
      <c r="G272">
        <v>17</v>
      </c>
      <c r="H272">
        <v>22063</v>
      </c>
      <c r="I272">
        <v>14465</v>
      </c>
      <c r="J272">
        <v>375071</v>
      </c>
      <c r="K272">
        <v>129166</v>
      </c>
      <c r="L272" s="4">
        <f t="shared" si="4"/>
        <v>0.34437746453338169</v>
      </c>
    </row>
    <row r="273" spans="1:12" x14ac:dyDescent="0.25">
      <c r="A273">
        <v>2272</v>
      </c>
      <c r="B273" s="1">
        <v>45563</v>
      </c>
      <c r="C273" t="s">
        <v>11</v>
      </c>
      <c r="D273" t="s">
        <v>23</v>
      </c>
      <c r="E273" t="s">
        <v>26</v>
      </c>
      <c r="F273" t="s">
        <v>30</v>
      </c>
      <c r="G273">
        <v>18</v>
      </c>
      <c r="H273">
        <v>9282</v>
      </c>
      <c r="I273">
        <v>6832</v>
      </c>
      <c r="J273">
        <v>167076</v>
      </c>
      <c r="K273">
        <v>44100</v>
      </c>
      <c r="L273" s="4">
        <f t="shared" si="4"/>
        <v>0.26395173453996984</v>
      </c>
    </row>
    <row r="274" spans="1:12" x14ac:dyDescent="0.25">
      <c r="A274">
        <v>2273</v>
      </c>
      <c r="B274" s="1">
        <v>45564</v>
      </c>
      <c r="C274" t="s">
        <v>11</v>
      </c>
      <c r="D274" t="s">
        <v>16</v>
      </c>
      <c r="E274" t="s">
        <v>25</v>
      </c>
      <c r="F274" t="s">
        <v>31</v>
      </c>
      <c r="G274">
        <v>3</v>
      </c>
      <c r="H274">
        <v>6155</v>
      </c>
      <c r="I274">
        <v>5393</v>
      </c>
      <c r="J274">
        <v>18465</v>
      </c>
      <c r="K274">
        <v>2286</v>
      </c>
      <c r="L274" s="4">
        <f t="shared" si="4"/>
        <v>0.12380178716490658</v>
      </c>
    </row>
    <row r="275" spans="1:12" x14ac:dyDescent="0.25">
      <c r="A275">
        <v>2274</v>
      </c>
      <c r="B275" s="1">
        <v>45565</v>
      </c>
      <c r="C275" t="s">
        <v>13</v>
      </c>
      <c r="D275" t="s">
        <v>15</v>
      </c>
      <c r="E275" t="s">
        <v>24</v>
      </c>
      <c r="F275" t="s">
        <v>31</v>
      </c>
      <c r="G275">
        <v>4</v>
      </c>
      <c r="H275">
        <v>12036</v>
      </c>
      <c r="I275">
        <v>9414</v>
      </c>
      <c r="J275">
        <v>48144</v>
      </c>
      <c r="K275">
        <v>10488</v>
      </c>
      <c r="L275" s="4">
        <f t="shared" si="4"/>
        <v>0.21784646061814555</v>
      </c>
    </row>
    <row r="276" spans="1:12" x14ac:dyDescent="0.25">
      <c r="A276">
        <v>2275</v>
      </c>
      <c r="B276" s="1">
        <v>45566</v>
      </c>
      <c r="C276" t="s">
        <v>11</v>
      </c>
      <c r="D276" t="s">
        <v>18</v>
      </c>
      <c r="E276" t="s">
        <v>24</v>
      </c>
      <c r="F276" t="s">
        <v>30</v>
      </c>
      <c r="G276">
        <v>2</v>
      </c>
      <c r="H276">
        <v>5609</v>
      </c>
      <c r="I276">
        <v>3913</v>
      </c>
      <c r="J276">
        <v>11218</v>
      </c>
      <c r="K276">
        <v>3392</v>
      </c>
      <c r="L276" s="4">
        <f t="shared" si="4"/>
        <v>0.30237118916027811</v>
      </c>
    </row>
    <row r="277" spans="1:12" x14ac:dyDescent="0.25">
      <c r="A277">
        <v>2276</v>
      </c>
      <c r="B277" s="1">
        <v>45567</v>
      </c>
      <c r="C277" t="s">
        <v>14</v>
      </c>
      <c r="D277" t="s">
        <v>22</v>
      </c>
      <c r="E277" t="s">
        <v>25</v>
      </c>
      <c r="F277" t="s">
        <v>30</v>
      </c>
      <c r="G277">
        <v>18</v>
      </c>
      <c r="H277">
        <v>37435</v>
      </c>
      <c r="I277">
        <v>27678</v>
      </c>
      <c r="J277">
        <v>673830</v>
      </c>
      <c r="K277">
        <v>175626</v>
      </c>
      <c r="L277" s="4">
        <f t="shared" si="4"/>
        <v>0.26063843996260183</v>
      </c>
    </row>
    <row r="278" spans="1:12" x14ac:dyDescent="0.25">
      <c r="A278">
        <v>2277</v>
      </c>
      <c r="B278" s="1">
        <v>45568</v>
      </c>
      <c r="C278" t="s">
        <v>12</v>
      </c>
      <c r="D278" t="s">
        <v>21</v>
      </c>
      <c r="E278" t="s">
        <v>25</v>
      </c>
      <c r="F278" t="s">
        <v>30</v>
      </c>
      <c r="G278">
        <v>8</v>
      </c>
      <c r="H278">
        <v>51695</v>
      </c>
      <c r="I278">
        <v>43111</v>
      </c>
      <c r="J278">
        <v>413560</v>
      </c>
      <c r="K278">
        <v>68672</v>
      </c>
      <c r="L278" s="4">
        <f t="shared" si="4"/>
        <v>0.16605087532643389</v>
      </c>
    </row>
    <row r="279" spans="1:12" x14ac:dyDescent="0.25">
      <c r="A279">
        <v>2278</v>
      </c>
      <c r="B279" s="1">
        <v>45569</v>
      </c>
      <c r="C279" t="s">
        <v>11</v>
      </c>
      <c r="D279" t="s">
        <v>23</v>
      </c>
      <c r="E279" t="s">
        <v>26</v>
      </c>
      <c r="F279" t="s">
        <v>28</v>
      </c>
      <c r="G279">
        <v>14</v>
      </c>
      <c r="H279">
        <v>10268</v>
      </c>
      <c r="I279">
        <v>6906</v>
      </c>
      <c r="J279">
        <v>143752</v>
      </c>
      <c r="K279">
        <v>47068</v>
      </c>
      <c r="L279" s="4">
        <f t="shared" si="4"/>
        <v>0.32742500973899491</v>
      </c>
    </row>
    <row r="280" spans="1:12" x14ac:dyDescent="0.25">
      <c r="A280">
        <v>2279</v>
      </c>
      <c r="B280" s="1">
        <v>45570</v>
      </c>
      <c r="C280" t="s">
        <v>11</v>
      </c>
      <c r="D280" t="s">
        <v>17</v>
      </c>
      <c r="E280" t="s">
        <v>25</v>
      </c>
      <c r="F280" t="s">
        <v>31</v>
      </c>
      <c r="G280">
        <v>18</v>
      </c>
      <c r="H280">
        <v>35988</v>
      </c>
      <c r="I280">
        <v>27634</v>
      </c>
      <c r="J280">
        <v>647784</v>
      </c>
      <c r="K280">
        <v>150372</v>
      </c>
      <c r="L280" s="4">
        <f t="shared" si="4"/>
        <v>0.23213293319995554</v>
      </c>
    </row>
    <row r="281" spans="1:12" x14ac:dyDescent="0.25">
      <c r="A281">
        <v>2280</v>
      </c>
      <c r="B281" s="1">
        <v>45571</v>
      </c>
      <c r="C281" t="s">
        <v>14</v>
      </c>
      <c r="D281" t="s">
        <v>20</v>
      </c>
      <c r="E281" t="s">
        <v>25</v>
      </c>
      <c r="F281" t="s">
        <v>31</v>
      </c>
      <c r="G281">
        <v>13</v>
      </c>
      <c r="H281">
        <v>6868</v>
      </c>
      <c r="I281">
        <v>4301</v>
      </c>
      <c r="J281">
        <v>89284</v>
      </c>
      <c r="K281">
        <v>33371</v>
      </c>
      <c r="L281" s="4">
        <f t="shared" si="4"/>
        <v>0.37376237623762376</v>
      </c>
    </row>
    <row r="282" spans="1:12" x14ac:dyDescent="0.25">
      <c r="A282">
        <v>2281</v>
      </c>
      <c r="B282" s="1">
        <v>45572</v>
      </c>
      <c r="C282" t="s">
        <v>14</v>
      </c>
      <c r="D282" t="s">
        <v>17</v>
      </c>
      <c r="E282" t="s">
        <v>25</v>
      </c>
      <c r="F282" t="s">
        <v>29</v>
      </c>
      <c r="G282">
        <v>2</v>
      </c>
      <c r="H282">
        <v>57485</v>
      </c>
      <c r="I282">
        <v>41336</v>
      </c>
      <c r="J282">
        <v>114970</v>
      </c>
      <c r="K282">
        <v>32298</v>
      </c>
      <c r="L282" s="4">
        <f t="shared" si="4"/>
        <v>0.28092545881534314</v>
      </c>
    </row>
    <row r="283" spans="1:12" x14ac:dyDescent="0.25">
      <c r="A283">
        <v>2282</v>
      </c>
      <c r="B283" s="1">
        <v>45573</v>
      </c>
      <c r="C283" t="s">
        <v>13</v>
      </c>
      <c r="D283" t="s">
        <v>20</v>
      </c>
      <c r="E283" t="s">
        <v>25</v>
      </c>
      <c r="F283" t="s">
        <v>30</v>
      </c>
      <c r="G283">
        <v>12</v>
      </c>
      <c r="H283">
        <v>3541</v>
      </c>
      <c r="I283">
        <v>2168</v>
      </c>
      <c r="J283">
        <v>42492</v>
      </c>
      <c r="K283">
        <v>16476</v>
      </c>
      <c r="L283" s="4">
        <f t="shared" si="4"/>
        <v>0.38774357526122566</v>
      </c>
    </row>
    <row r="284" spans="1:12" x14ac:dyDescent="0.25">
      <c r="A284">
        <v>2283</v>
      </c>
      <c r="B284" s="1">
        <v>45574</v>
      </c>
      <c r="C284" t="s">
        <v>13</v>
      </c>
      <c r="D284" t="s">
        <v>19</v>
      </c>
      <c r="E284" t="s">
        <v>25</v>
      </c>
      <c r="F284" t="s">
        <v>31</v>
      </c>
      <c r="G284">
        <v>6</v>
      </c>
      <c r="H284">
        <v>50286</v>
      </c>
      <c r="I284">
        <v>30648</v>
      </c>
      <c r="J284">
        <v>301716</v>
      </c>
      <c r="K284">
        <v>117828</v>
      </c>
      <c r="L284" s="4">
        <f t="shared" si="4"/>
        <v>0.39052619019210116</v>
      </c>
    </row>
    <row r="285" spans="1:12" x14ac:dyDescent="0.25">
      <c r="A285">
        <v>2284</v>
      </c>
      <c r="B285" s="1">
        <v>45575</v>
      </c>
      <c r="C285" t="s">
        <v>11</v>
      </c>
      <c r="D285" t="s">
        <v>20</v>
      </c>
      <c r="E285" t="s">
        <v>25</v>
      </c>
      <c r="F285" t="s">
        <v>28</v>
      </c>
      <c r="G285">
        <v>18</v>
      </c>
      <c r="H285">
        <v>25791</v>
      </c>
      <c r="I285">
        <v>22213</v>
      </c>
      <c r="J285">
        <v>464238</v>
      </c>
      <c r="K285">
        <v>64404</v>
      </c>
      <c r="L285" s="4">
        <f t="shared" si="4"/>
        <v>0.13873056492574928</v>
      </c>
    </row>
    <row r="286" spans="1:12" x14ac:dyDescent="0.25">
      <c r="A286">
        <v>2285</v>
      </c>
      <c r="B286" s="1">
        <v>45576</v>
      </c>
      <c r="C286" t="s">
        <v>14</v>
      </c>
      <c r="D286" t="s">
        <v>15</v>
      </c>
      <c r="E286" t="s">
        <v>24</v>
      </c>
      <c r="F286" t="s">
        <v>29</v>
      </c>
      <c r="G286">
        <v>4</v>
      </c>
      <c r="H286">
        <v>33726</v>
      </c>
      <c r="I286">
        <v>29289</v>
      </c>
      <c r="J286">
        <v>134904</v>
      </c>
      <c r="K286">
        <v>17748</v>
      </c>
      <c r="L286" s="4">
        <f t="shared" si="4"/>
        <v>0.1315602206013165</v>
      </c>
    </row>
    <row r="287" spans="1:12" x14ac:dyDescent="0.25">
      <c r="A287">
        <v>2286</v>
      </c>
      <c r="B287" s="1">
        <v>45577</v>
      </c>
      <c r="C287" t="s">
        <v>11</v>
      </c>
      <c r="D287" t="s">
        <v>18</v>
      </c>
      <c r="E287" t="s">
        <v>24</v>
      </c>
      <c r="F287" t="s">
        <v>29</v>
      </c>
      <c r="G287">
        <v>9</v>
      </c>
      <c r="H287">
        <v>9101</v>
      </c>
      <c r="I287">
        <v>6773</v>
      </c>
      <c r="J287">
        <v>81909</v>
      </c>
      <c r="K287">
        <v>20952</v>
      </c>
      <c r="L287" s="4">
        <f t="shared" si="4"/>
        <v>0.2557960663663334</v>
      </c>
    </row>
    <row r="288" spans="1:12" x14ac:dyDescent="0.25">
      <c r="A288">
        <v>2287</v>
      </c>
      <c r="B288" s="1">
        <v>45578</v>
      </c>
      <c r="C288" t="s">
        <v>13</v>
      </c>
      <c r="D288" t="s">
        <v>20</v>
      </c>
      <c r="E288" t="s">
        <v>25</v>
      </c>
      <c r="F288" t="s">
        <v>31</v>
      </c>
      <c r="G288">
        <v>12</v>
      </c>
      <c r="H288">
        <v>15849</v>
      </c>
      <c r="I288">
        <v>12330</v>
      </c>
      <c r="J288">
        <v>190188</v>
      </c>
      <c r="K288">
        <v>42228</v>
      </c>
      <c r="L288" s="4">
        <f t="shared" si="4"/>
        <v>0.22203293583191369</v>
      </c>
    </row>
    <row r="289" spans="1:12" x14ac:dyDescent="0.25">
      <c r="A289">
        <v>2288</v>
      </c>
      <c r="B289" s="1">
        <v>45579</v>
      </c>
      <c r="C289" t="s">
        <v>11</v>
      </c>
      <c r="D289" t="s">
        <v>19</v>
      </c>
      <c r="E289" t="s">
        <v>25</v>
      </c>
      <c r="F289" t="s">
        <v>27</v>
      </c>
      <c r="G289">
        <v>14</v>
      </c>
      <c r="H289">
        <v>27245</v>
      </c>
      <c r="I289">
        <v>19036</v>
      </c>
      <c r="J289">
        <v>381430</v>
      </c>
      <c r="K289">
        <v>114926</v>
      </c>
      <c r="L289" s="4">
        <f t="shared" si="4"/>
        <v>0.30130299137456412</v>
      </c>
    </row>
    <row r="290" spans="1:12" x14ac:dyDescent="0.25">
      <c r="A290">
        <v>2289</v>
      </c>
      <c r="B290" s="1">
        <v>45580</v>
      </c>
      <c r="C290" t="s">
        <v>11</v>
      </c>
      <c r="D290" t="s">
        <v>23</v>
      </c>
      <c r="E290" t="s">
        <v>26</v>
      </c>
      <c r="F290" t="s">
        <v>29</v>
      </c>
      <c r="G290">
        <v>19</v>
      </c>
      <c r="H290">
        <v>28880</v>
      </c>
      <c r="I290">
        <v>24169</v>
      </c>
      <c r="J290">
        <v>548720</v>
      </c>
      <c r="K290">
        <v>89509</v>
      </c>
      <c r="L290" s="4">
        <f t="shared" si="4"/>
        <v>0.16312326869806093</v>
      </c>
    </row>
    <row r="291" spans="1:12" x14ac:dyDescent="0.25">
      <c r="A291">
        <v>2290</v>
      </c>
      <c r="B291" s="1">
        <v>45581</v>
      </c>
      <c r="C291" t="s">
        <v>11</v>
      </c>
      <c r="D291" t="s">
        <v>18</v>
      </c>
      <c r="E291" t="s">
        <v>24</v>
      </c>
      <c r="F291" t="s">
        <v>31</v>
      </c>
      <c r="G291">
        <v>5</v>
      </c>
      <c r="H291">
        <v>40325</v>
      </c>
      <c r="I291">
        <v>32097</v>
      </c>
      <c r="J291">
        <v>201625</v>
      </c>
      <c r="K291">
        <v>41140</v>
      </c>
      <c r="L291" s="4">
        <f t="shared" si="4"/>
        <v>0.20404215747055177</v>
      </c>
    </row>
    <row r="292" spans="1:12" x14ac:dyDescent="0.25">
      <c r="A292">
        <v>2291</v>
      </c>
      <c r="B292" s="1">
        <v>45582</v>
      </c>
      <c r="C292" t="s">
        <v>13</v>
      </c>
      <c r="D292" t="s">
        <v>19</v>
      </c>
      <c r="E292" t="s">
        <v>25</v>
      </c>
      <c r="F292" t="s">
        <v>28</v>
      </c>
      <c r="G292">
        <v>15</v>
      </c>
      <c r="H292">
        <v>14525</v>
      </c>
      <c r="I292">
        <v>10472</v>
      </c>
      <c r="J292">
        <v>217875</v>
      </c>
      <c r="K292">
        <v>60795</v>
      </c>
      <c r="L292" s="4">
        <f t="shared" si="4"/>
        <v>0.27903614457831327</v>
      </c>
    </row>
    <row r="293" spans="1:12" x14ac:dyDescent="0.25">
      <c r="A293">
        <v>2292</v>
      </c>
      <c r="B293" s="1">
        <v>45583</v>
      </c>
      <c r="C293" t="s">
        <v>11</v>
      </c>
      <c r="D293" t="s">
        <v>22</v>
      </c>
      <c r="E293" t="s">
        <v>25</v>
      </c>
      <c r="F293" t="s">
        <v>28</v>
      </c>
      <c r="G293">
        <v>5</v>
      </c>
      <c r="H293">
        <v>7505</v>
      </c>
      <c r="I293">
        <v>6666</v>
      </c>
      <c r="J293">
        <v>37525</v>
      </c>
      <c r="K293">
        <v>4195</v>
      </c>
      <c r="L293" s="4">
        <f t="shared" si="4"/>
        <v>0.11179213857428381</v>
      </c>
    </row>
    <row r="294" spans="1:12" x14ac:dyDescent="0.25">
      <c r="A294">
        <v>2293</v>
      </c>
      <c r="B294" s="1">
        <v>45584</v>
      </c>
      <c r="C294" t="s">
        <v>12</v>
      </c>
      <c r="D294" t="s">
        <v>17</v>
      </c>
      <c r="E294" t="s">
        <v>25</v>
      </c>
      <c r="F294" t="s">
        <v>31</v>
      </c>
      <c r="G294">
        <v>17</v>
      </c>
      <c r="H294">
        <v>34223</v>
      </c>
      <c r="I294">
        <v>20945</v>
      </c>
      <c r="J294">
        <v>581791</v>
      </c>
      <c r="K294">
        <v>225726</v>
      </c>
      <c r="L294" s="4">
        <f t="shared" si="4"/>
        <v>0.38798468865967334</v>
      </c>
    </row>
    <row r="295" spans="1:12" x14ac:dyDescent="0.25">
      <c r="A295">
        <v>2294</v>
      </c>
      <c r="B295" s="1">
        <v>45585</v>
      </c>
      <c r="C295" t="s">
        <v>14</v>
      </c>
      <c r="D295" t="s">
        <v>17</v>
      </c>
      <c r="E295" t="s">
        <v>25</v>
      </c>
      <c r="F295" t="s">
        <v>29</v>
      </c>
      <c r="G295">
        <v>4</v>
      </c>
      <c r="H295">
        <v>26349</v>
      </c>
      <c r="I295">
        <v>21542</v>
      </c>
      <c r="J295">
        <v>105396</v>
      </c>
      <c r="K295">
        <v>19228</v>
      </c>
      <c r="L295" s="4">
        <f t="shared" si="4"/>
        <v>0.1824357660632282</v>
      </c>
    </row>
    <row r="296" spans="1:12" x14ac:dyDescent="0.25">
      <c r="A296">
        <v>2295</v>
      </c>
      <c r="B296" s="1">
        <v>45586</v>
      </c>
      <c r="C296" t="s">
        <v>12</v>
      </c>
      <c r="D296" t="s">
        <v>17</v>
      </c>
      <c r="E296" t="s">
        <v>25</v>
      </c>
      <c r="F296" t="s">
        <v>29</v>
      </c>
      <c r="G296">
        <v>19</v>
      </c>
      <c r="H296">
        <v>59641</v>
      </c>
      <c r="I296">
        <v>47504</v>
      </c>
      <c r="J296">
        <v>1133179</v>
      </c>
      <c r="K296">
        <v>230603</v>
      </c>
      <c r="L296" s="4">
        <f t="shared" si="4"/>
        <v>0.20350094733488708</v>
      </c>
    </row>
    <row r="297" spans="1:12" x14ac:dyDescent="0.25">
      <c r="A297">
        <v>2296</v>
      </c>
      <c r="B297" s="1">
        <v>45587</v>
      </c>
      <c r="C297" t="s">
        <v>14</v>
      </c>
      <c r="D297" t="s">
        <v>18</v>
      </c>
      <c r="E297" t="s">
        <v>24</v>
      </c>
      <c r="F297" t="s">
        <v>27</v>
      </c>
      <c r="G297">
        <v>13</v>
      </c>
      <c r="H297">
        <v>21616</v>
      </c>
      <c r="I297">
        <v>14335</v>
      </c>
      <c r="J297">
        <v>281008</v>
      </c>
      <c r="K297">
        <v>94653</v>
      </c>
      <c r="L297" s="4">
        <f t="shared" si="4"/>
        <v>0.33683382679496671</v>
      </c>
    </row>
    <row r="298" spans="1:12" x14ac:dyDescent="0.25">
      <c r="A298">
        <v>2297</v>
      </c>
      <c r="B298" s="1">
        <v>45588</v>
      </c>
      <c r="C298" t="s">
        <v>11</v>
      </c>
      <c r="D298" t="s">
        <v>22</v>
      </c>
      <c r="E298" t="s">
        <v>25</v>
      </c>
      <c r="F298" t="s">
        <v>29</v>
      </c>
      <c r="G298">
        <v>4</v>
      </c>
      <c r="H298">
        <v>27990</v>
      </c>
      <c r="I298">
        <v>23310</v>
      </c>
      <c r="J298">
        <v>111960</v>
      </c>
      <c r="K298">
        <v>18720</v>
      </c>
      <c r="L298" s="4">
        <f t="shared" si="4"/>
        <v>0.16720257234726688</v>
      </c>
    </row>
    <row r="299" spans="1:12" x14ac:dyDescent="0.25">
      <c r="A299">
        <v>2298</v>
      </c>
      <c r="B299" s="1">
        <v>45589</v>
      </c>
      <c r="C299" t="s">
        <v>13</v>
      </c>
      <c r="D299" t="s">
        <v>20</v>
      </c>
      <c r="E299" t="s">
        <v>25</v>
      </c>
      <c r="F299" t="s">
        <v>31</v>
      </c>
      <c r="G299">
        <v>6</v>
      </c>
      <c r="H299">
        <v>33642</v>
      </c>
      <c r="I299">
        <v>24353</v>
      </c>
      <c r="J299">
        <v>201852</v>
      </c>
      <c r="K299">
        <v>55734</v>
      </c>
      <c r="L299" s="4">
        <f t="shared" si="4"/>
        <v>0.27611319184352895</v>
      </c>
    </row>
    <row r="300" spans="1:12" x14ac:dyDescent="0.25">
      <c r="A300">
        <v>2299</v>
      </c>
      <c r="B300" s="1">
        <v>45590</v>
      </c>
      <c r="C300" t="s">
        <v>11</v>
      </c>
      <c r="D300" t="s">
        <v>18</v>
      </c>
      <c r="E300" t="s">
        <v>24</v>
      </c>
      <c r="F300" t="s">
        <v>31</v>
      </c>
      <c r="G300">
        <v>14</v>
      </c>
      <c r="H300">
        <v>31023</v>
      </c>
      <c r="I300">
        <v>22383</v>
      </c>
      <c r="J300">
        <v>434322</v>
      </c>
      <c r="K300">
        <v>120960</v>
      </c>
      <c r="L300" s="4">
        <f t="shared" si="4"/>
        <v>0.278503046127067</v>
      </c>
    </row>
    <row r="301" spans="1:12" x14ac:dyDescent="0.25">
      <c r="A301">
        <v>2300</v>
      </c>
      <c r="B301" s="1">
        <v>45591</v>
      </c>
      <c r="C301" t="s">
        <v>12</v>
      </c>
      <c r="D301" t="s">
        <v>17</v>
      </c>
      <c r="E301" t="s">
        <v>25</v>
      </c>
      <c r="F301" t="s">
        <v>31</v>
      </c>
      <c r="G301">
        <v>17</v>
      </c>
      <c r="H301">
        <v>41589</v>
      </c>
      <c r="I301">
        <v>26141</v>
      </c>
      <c r="J301">
        <v>707013</v>
      </c>
      <c r="K301">
        <v>262616</v>
      </c>
      <c r="L301" s="4">
        <f t="shared" si="4"/>
        <v>0.37144437230998584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work1</vt:lpstr>
      <vt:lpstr>work2</vt:lpstr>
      <vt:lpstr>work3</vt:lpstr>
      <vt:lpstr>work4</vt:lpstr>
      <vt:lpstr>work5</vt:lpstr>
      <vt:lpstr>DashBoard</vt:lpstr>
      <vt:lpstr>Sales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Anil Kumar</cp:lastModifiedBy>
  <dcterms:created xsi:type="dcterms:W3CDTF">2025-12-04T08:11:49Z</dcterms:created>
  <dcterms:modified xsi:type="dcterms:W3CDTF">2025-12-05T08:07:03Z</dcterms:modified>
</cp:coreProperties>
</file>